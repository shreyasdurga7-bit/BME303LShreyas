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119" documentId="11_0B1D56BE9CDCCE836B02CE7A5FB0D4A9BBFD1C62" xr6:coauthVersionLast="47" xr6:coauthVersionMax="47" xr10:uidLastSave="{EAEDF853-E220-4153-B653-2DC32AEA9E7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A6" i="1"/>
  <c r="F5" i="1"/>
  <c r="G5" i="1" s="1"/>
  <c r="C5" i="1"/>
  <c r="D5" i="1" s="1"/>
  <c r="B5" i="1"/>
  <c r="L5" i="1" s="1"/>
  <c r="G3" i="1"/>
  <c r="E3" i="1"/>
  <c r="I5" i="1" l="1"/>
  <c r="J5" i="1" s="1"/>
  <c r="K5" i="1" s="1"/>
  <c r="H6" i="1" s="1"/>
  <c r="A7" i="1"/>
  <c r="B6" i="1"/>
  <c r="L6" i="1" s="1"/>
  <c r="A8" i="1" l="1"/>
  <c r="B7" i="1"/>
  <c r="L7" i="1" s="1"/>
  <c r="G6" i="1"/>
  <c r="E6" i="1"/>
  <c r="D6" i="1" l="1"/>
  <c r="C6" i="1" s="1"/>
  <c r="I6" i="1"/>
  <c r="J6" i="1" s="1"/>
  <c r="K6" i="1" s="1"/>
  <c r="F6" i="1"/>
  <c r="A9" i="1"/>
  <c r="B8" i="1"/>
  <c r="L8" i="1" s="1"/>
  <c r="A10" i="1" l="1"/>
  <c r="B9" i="1"/>
  <c r="L9" i="1" s="1"/>
  <c r="H7" i="1"/>
  <c r="E7" i="1"/>
  <c r="D7" i="1" l="1"/>
  <c r="C7" i="1" s="1"/>
  <c r="G7" i="1"/>
  <c r="A11" i="1"/>
  <c r="B10" i="1"/>
  <c r="L10" i="1" s="1"/>
  <c r="A12" i="1" l="1"/>
  <c r="B11" i="1"/>
  <c r="L11" i="1" s="1"/>
  <c r="I7" i="1"/>
  <c r="J7" i="1" s="1"/>
  <c r="K7" i="1" s="1"/>
  <c r="F7" i="1"/>
  <c r="E8" i="1" l="1"/>
  <c r="H8" i="1"/>
  <c r="A13" i="1"/>
  <c r="B12" i="1"/>
  <c r="L12" i="1" s="1"/>
  <c r="A14" i="1" l="1"/>
  <c r="B13" i="1"/>
  <c r="L13" i="1" s="1"/>
  <c r="G8" i="1"/>
  <c r="D8" i="1"/>
  <c r="C8" i="1" s="1"/>
  <c r="I8" i="1" l="1"/>
  <c r="J8" i="1" s="1"/>
  <c r="K8" i="1" s="1"/>
  <c r="F8" i="1"/>
  <c r="A15" i="1"/>
  <c r="B14" i="1"/>
  <c r="L14" i="1" s="1"/>
  <c r="A16" i="1" l="1"/>
  <c r="B15" i="1"/>
  <c r="L15" i="1" s="1"/>
  <c r="H9" i="1"/>
  <c r="E9" i="1"/>
  <c r="D9" i="1" l="1"/>
  <c r="C9" i="1" s="1"/>
  <c r="G9" i="1"/>
  <c r="A17" i="1"/>
  <c r="B16" i="1"/>
  <c r="L16" i="1" s="1"/>
  <c r="A18" i="1" l="1"/>
  <c r="B17" i="1"/>
  <c r="L17" i="1" s="1"/>
  <c r="I9" i="1"/>
  <c r="J9" i="1" s="1"/>
  <c r="K9" i="1" s="1"/>
  <c r="F9" i="1"/>
  <c r="E10" i="1" l="1"/>
  <c r="H10" i="1"/>
  <c r="A19" i="1"/>
  <c r="B18" i="1"/>
  <c r="L18" i="1" s="1"/>
  <c r="A20" i="1" l="1"/>
  <c r="B19" i="1"/>
  <c r="L19" i="1" s="1"/>
  <c r="G10" i="1"/>
  <c r="D10" i="1"/>
  <c r="C10" i="1" s="1"/>
  <c r="I10" i="1" l="1"/>
  <c r="J10" i="1" s="1"/>
  <c r="K10" i="1" s="1"/>
  <c r="F10" i="1"/>
  <c r="A21" i="1"/>
  <c r="B20" i="1"/>
  <c r="L20" i="1" s="1"/>
  <c r="A22" i="1" l="1"/>
  <c r="B21" i="1"/>
  <c r="L21" i="1" s="1"/>
  <c r="H11" i="1"/>
  <c r="E11" i="1"/>
  <c r="D11" i="1" l="1"/>
  <c r="C11" i="1" s="1"/>
  <c r="G11" i="1"/>
  <c r="A23" i="1"/>
  <c r="B22" i="1"/>
  <c r="L22" i="1" s="1"/>
  <c r="A24" i="1" l="1"/>
  <c r="B23" i="1"/>
  <c r="L23" i="1" s="1"/>
  <c r="I11" i="1"/>
  <c r="J11" i="1" s="1"/>
  <c r="K11" i="1" s="1"/>
  <c r="F11" i="1"/>
  <c r="E12" i="1" l="1"/>
  <c r="H12" i="1"/>
  <c r="A25" i="1"/>
  <c r="B24" i="1"/>
  <c r="L24" i="1" s="1"/>
  <c r="A26" i="1" l="1"/>
  <c r="B25" i="1"/>
  <c r="L25" i="1" s="1"/>
  <c r="G12" i="1"/>
  <c r="D12" i="1"/>
  <c r="C12" i="1" s="1"/>
  <c r="I12" i="1" l="1"/>
  <c r="J12" i="1" s="1"/>
  <c r="K12" i="1" s="1"/>
  <c r="F12" i="1"/>
  <c r="A27" i="1"/>
  <c r="B26" i="1"/>
  <c r="L26" i="1" s="1"/>
  <c r="A28" i="1" l="1"/>
  <c r="B27" i="1"/>
  <c r="L27" i="1" s="1"/>
  <c r="H13" i="1"/>
  <c r="E13" i="1"/>
  <c r="D13" i="1" l="1"/>
  <c r="C13" i="1" s="1"/>
  <c r="G13" i="1"/>
  <c r="A29" i="1"/>
  <c r="B28" i="1"/>
  <c r="L28" i="1" s="1"/>
  <c r="A30" i="1" l="1"/>
  <c r="B29" i="1"/>
  <c r="L29" i="1" s="1"/>
  <c r="I13" i="1"/>
  <c r="J13" i="1" s="1"/>
  <c r="K13" i="1" s="1"/>
  <c r="F13" i="1"/>
  <c r="E14" i="1" l="1"/>
  <c r="H14" i="1"/>
  <c r="A31" i="1"/>
  <c r="B30" i="1"/>
  <c r="L30" i="1" s="1"/>
  <c r="A32" i="1" l="1"/>
  <c r="B31" i="1"/>
  <c r="L31" i="1" s="1"/>
  <c r="G14" i="1"/>
  <c r="D14" i="1"/>
  <c r="C14" i="1" s="1"/>
  <c r="I14" i="1" l="1"/>
  <c r="J14" i="1" s="1"/>
  <c r="K14" i="1" s="1"/>
  <c r="F14" i="1"/>
  <c r="A33" i="1"/>
  <c r="B32" i="1"/>
  <c r="L32" i="1" s="1"/>
  <c r="A34" i="1" l="1"/>
  <c r="B33" i="1"/>
  <c r="L33" i="1" s="1"/>
  <c r="H15" i="1"/>
  <c r="E15" i="1"/>
  <c r="D15" i="1" l="1"/>
  <c r="C15" i="1" s="1"/>
  <c r="G15" i="1"/>
  <c r="A35" i="1"/>
  <c r="B34" i="1"/>
  <c r="L34" i="1" s="1"/>
  <c r="A36" i="1" l="1"/>
  <c r="B35" i="1"/>
  <c r="L35" i="1" s="1"/>
  <c r="I15" i="1"/>
  <c r="J15" i="1" s="1"/>
  <c r="K15" i="1" s="1"/>
  <c r="F15" i="1"/>
  <c r="E16" i="1" l="1"/>
  <c r="H16" i="1"/>
  <c r="A37" i="1"/>
  <c r="B36" i="1"/>
  <c r="L36" i="1" s="1"/>
  <c r="A38" i="1" l="1"/>
  <c r="B37" i="1"/>
  <c r="L37" i="1" s="1"/>
  <c r="G16" i="1"/>
  <c r="D16" i="1"/>
  <c r="C16" i="1" s="1"/>
  <c r="I16" i="1" l="1"/>
  <c r="J16" i="1" s="1"/>
  <c r="K16" i="1" s="1"/>
  <c r="F16" i="1"/>
  <c r="A39" i="1"/>
  <c r="B38" i="1"/>
  <c r="L38" i="1" s="1"/>
  <c r="A40" i="1" l="1"/>
  <c r="B39" i="1"/>
  <c r="L39" i="1" s="1"/>
  <c r="H17" i="1"/>
  <c r="E17" i="1"/>
  <c r="D17" i="1" l="1"/>
  <c r="C17" i="1" s="1"/>
  <c r="G17" i="1"/>
  <c r="A41" i="1"/>
  <c r="B40" i="1"/>
  <c r="L40" i="1" s="1"/>
  <c r="A42" i="1" l="1"/>
  <c r="B41" i="1"/>
  <c r="L41" i="1" s="1"/>
  <c r="I17" i="1"/>
  <c r="J17" i="1" s="1"/>
  <c r="K17" i="1" s="1"/>
  <c r="F17" i="1"/>
  <c r="E18" i="1" l="1"/>
  <c r="H18" i="1"/>
  <c r="A43" i="1"/>
  <c r="B42" i="1"/>
  <c r="L42" i="1" s="1"/>
  <c r="A44" i="1" l="1"/>
  <c r="B43" i="1"/>
  <c r="L43" i="1" s="1"/>
  <c r="G18" i="1"/>
  <c r="D18" i="1"/>
  <c r="C18" i="1" s="1"/>
  <c r="I18" i="1" l="1"/>
  <c r="J18" i="1" s="1"/>
  <c r="K18" i="1" s="1"/>
  <c r="F18" i="1"/>
  <c r="A45" i="1"/>
  <c r="B44" i="1"/>
  <c r="L44" i="1" s="1"/>
  <c r="A46" i="1" l="1"/>
  <c r="B45" i="1"/>
  <c r="L45" i="1" s="1"/>
  <c r="H19" i="1"/>
  <c r="E19" i="1"/>
  <c r="D19" i="1" l="1"/>
  <c r="C19" i="1" s="1"/>
  <c r="G19" i="1"/>
  <c r="A47" i="1"/>
  <c r="B46" i="1"/>
  <c r="L46" i="1" s="1"/>
  <c r="A48" i="1" l="1"/>
  <c r="B47" i="1"/>
  <c r="L47" i="1" s="1"/>
  <c r="I19" i="1"/>
  <c r="J19" i="1" s="1"/>
  <c r="K19" i="1" s="1"/>
  <c r="F19" i="1"/>
  <c r="E20" i="1" l="1"/>
  <c r="H20" i="1"/>
  <c r="A49" i="1"/>
  <c r="B48" i="1"/>
  <c r="L48" i="1" s="1"/>
  <c r="A50" i="1" l="1"/>
  <c r="B49" i="1"/>
  <c r="L49" i="1" s="1"/>
  <c r="G20" i="1"/>
  <c r="D20" i="1"/>
  <c r="C20" i="1" s="1"/>
  <c r="I20" i="1" l="1"/>
  <c r="J20" i="1" s="1"/>
  <c r="K20" i="1" s="1"/>
  <c r="F20" i="1"/>
  <c r="A51" i="1"/>
  <c r="B50" i="1"/>
  <c r="L50" i="1" s="1"/>
  <c r="A52" i="1" l="1"/>
  <c r="B51" i="1"/>
  <c r="L51" i="1" s="1"/>
  <c r="H21" i="1"/>
  <c r="E21" i="1"/>
  <c r="D21" i="1" l="1"/>
  <c r="C21" i="1" s="1"/>
  <c r="G21" i="1"/>
  <c r="A53" i="1"/>
  <c r="B52" i="1"/>
  <c r="L52" i="1" s="1"/>
  <c r="A54" i="1" l="1"/>
  <c r="B53" i="1"/>
  <c r="L53" i="1" s="1"/>
  <c r="I21" i="1"/>
  <c r="J21" i="1" s="1"/>
  <c r="K21" i="1" s="1"/>
  <c r="F21" i="1"/>
  <c r="E22" i="1" l="1"/>
  <c r="H22" i="1"/>
  <c r="A55" i="1"/>
  <c r="B54" i="1"/>
  <c r="L54" i="1" s="1"/>
  <c r="A56" i="1" l="1"/>
  <c r="B55" i="1"/>
  <c r="L55" i="1" s="1"/>
  <c r="G22" i="1"/>
  <c r="D22" i="1"/>
  <c r="C22" i="1" s="1"/>
  <c r="I22" i="1" l="1"/>
  <c r="J22" i="1" s="1"/>
  <c r="K22" i="1" s="1"/>
  <c r="F22" i="1"/>
  <c r="A57" i="1"/>
  <c r="B56" i="1"/>
  <c r="L56" i="1" s="1"/>
  <c r="A58" i="1" l="1"/>
  <c r="B57" i="1"/>
  <c r="L57" i="1" s="1"/>
  <c r="H23" i="1"/>
  <c r="E23" i="1"/>
  <c r="D23" i="1" l="1"/>
  <c r="C23" i="1" s="1"/>
  <c r="G23" i="1"/>
  <c r="A59" i="1"/>
  <c r="B58" i="1"/>
  <c r="L58" i="1" s="1"/>
  <c r="A60" i="1" l="1"/>
  <c r="B59" i="1"/>
  <c r="L59" i="1" s="1"/>
  <c r="I23" i="1"/>
  <c r="J23" i="1" s="1"/>
  <c r="K23" i="1" s="1"/>
  <c r="F23" i="1"/>
  <c r="E24" i="1" l="1"/>
  <c r="H24" i="1"/>
  <c r="A61" i="1"/>
  <c r="B60" i="1"/>
  <c r="L60" i="1" s="1"/>
  <c r="A62" i="1" l="1"/>
  <c r="B61" i="1"/>
  <c r="L61" i="1" s="1"/>
  <c r="G24" i="1"/>
  <c r="D24" i="1"/>
  <c r="C24" i="1" s="1"/>
  <c r="I24" i="1" l="1"/>
  <c r="J24" i="1" s="1"/>
  <c r="K24" i="1" s="1"/>
  <c r="F24" i="1"/>
  <c r="A63" i="1"/>
  <c r="B62" i="1"/>
  <c r="L62" i="1" s="1"/>
  <c r="A64" i="1" l="1"/>
  <c r="B63" i="1"/>
  <c r="L63" i="1" s="1"/>
  <c r="H25" i="1"/>
  <c r="E25" i="1"/>
  <c r="D25" i="1" l="1"/>
  <c r="C25" i="1" s="1"/>
  <c r="G25" i="1"/>
  <c r="A65" i="1"/>
  <c r="B64" i="1"/>
  <c r="L64" i="1" s="1"/>
  <c r="A66" i="1" l="1"/>
  <c r="B65" i="1"/>
  <c r="L65" i="1" s="1"/>
  <c r="I25" i="1"/>
  <c r="J25" i="1" s="1"/>
  <c r="K25" i="1" s="1"/>
  <c r="F25" i="1"/>
  <c r="E26" i="1" l="1"/>
  <c r="H26" i="1"/>
  <c r="A67" i="1"/>
  <c r="B66" i="1"/>
  <c r="L66" i="1" s="1"/>
  <c r="A68" i="1" l="1"/>
  <c r="B67" i="1"/>
  <c r="L67" i="1" s="1"/>
  <c r="G26" i="1"/>
  <c r="D26" i="1"/>
  <c r="C26" i="1" s="1"/>
  <c r="I26" i="1" l="1"/>
  <c r="J26" i="1" s="1"/>
  <c r="K26" i="1" s="1"/>
  <c r="F26" i="1"/>
  <c r="A69" i="1"/>
  <c r="B68" i="1"/>
  <c r="L68" i="1" s="1"/>
  <c r="A70" i="1" l="1"/>
  <c r="B69" i="1"/>
  <c r="L69" i="1" s="1"/>
  <c r="H27" i="1"/>
  <c r="E27" i="1"/>
  <c r="D27" i="1" l="1"/>
  <c r="C27" i="1" s="1"/>
  <c r="G27" i="1"/>
  <c r="A71" i="1"/>
  <c r="B70" i="1"/>
  <c r="L70" i="1" s="1"/>
  <c r="A72" i="1" l="1"/>
  <c r="B71" i="1"/>
  <c r="L71" i="1" s="1"/>
  <c r="I27" i="1"/>
  <c r="J27" i="1" s="1"/>
  <c r="K27" i="1" s="1"/>
  <c r="F27" i="1"/>
  <c r="E28" i="1" l="1"/>
  <c r="H28" i="1"/>
  <c r="A73" i="1"/>
  <c r="B72" i="1"/>
  <c r="L72" i="1" s="1"/>
  <c r="A74" i="1" l="1"/>
  <c r="B73" i="1"/>
  <c r="L73" i="1" s="1"/>
  <c r="G28" i="1"/>
  <c r="D28" i="1"/>
  <c r="C28" i="1" s="1"/>
  <c r="I28" i="1" l="1"/>
  <c r="J28" i="1" s="1"/>
  <c r="K28" i="1" s="1"/>
  <c r="F28" i="1"/>
  <c r="A75" i="1"/>
  <c r="B74" i="1"/>
  <c r="L74" i="1" s="1"/>
  <c r="A76" i="1" l="1"/>
  <c r="B75" i="1"/>
  <c r="L75" i="1" s="1"/>
  <c r="H29" i="1"/>
  <c r="E29" i="1"/>
  <c r="D29" i="1" l="1"/>
  <c r="C29" i="1" s="1"/>
  <c r="G29" i="1"/>
  <c r="A77" i="1"/>
  <c r="B76" i="1"/>
  <c r="L76" i="1" s="1"/>
  <c r="A78" i="1" l="1"/>
  <c r="B77" i="1"/>
  <c r="L77" i="1" s="1"/>
  <c r="I29" i="1"/>
  <c r="J29" i="1" s="1"/>
  <c r="K29" i="1" s="1"/>
  <c r="F29" i="1"/>
  <c r="E30" i="1" l="1"/>
  <c r="H30" i="1"/>
  <c r="A79" i="1"/>
  <c r="B78" i="1"/>
  <c r="L78" i="1" s="1"/>
  <c r="A80" i="1" l="1"/>
  <c r="B79" i="1"/>
  <c r="L79" i="1" s="1"/>
  <c r="G30" i="1"/>
  <c r="D30" i="1"/>
  <c r="C30" i="1" s="1"/>
  <c r="I30" i="1" l="1"/>
  <c r="J30" i="1" s="1"/>
  <c r="K30" i="1" s="1"/>
  <c r="F30" i="1"/>
  <c r="A81" i="1"/>
  <c r="B80" i="1"/>
  <c r="L80" i="1" s="1"/>
  <c r="A82" i="1" l="1"/>
  <c r="B81" i="1"/>
  <c r="L81" i="1" s="1"/>
  <c r="H31" i="1"/>
  <c r="E31" i="1"/>
  <c r="D31" i="1" l="1"/>
  <c r="C31" i="1" s="1"/>
  <c r="G31" i="1"/>
  <c r="A83" i="1"/>
  <c r="B82" i="1"/>
  <c r="L82" i="1" s="1"/>
  <c r="A84" i="1" l="1"/>
  <c r="B83" i="1"/>
  <c r="L83" i="1" s="1"/>
  <c r="I31" i="1"/>
  <c r="J31" i="1" s="1"/>
  <c r="K31" i="1" s="1"/>
  <c r="F31" i="1"/>
  <c r="E32" i="1" l="1"/>
  <c r="H32" i="1"/>
  <c r="A85" i="1"/>
  <c r="B84" i="1"/>
  <c r="L84" i="1" s="1"/>
  <c r="A86" i="1" l="1"/>
  <c r="B85" i="1"/>
  <c r="L85" i="1" s="1"/>
  <c r="G32" i="1"/>
  <c r="D32" i="1"/>
  <c r="C32" i="1" s="1"/>
  <c r="I32" i="1" l="1"/>
  <c r="J32" i="1" s="1"/>
  <c r="K32" i="1" s="1"/>
  <c r="F32" i="1"/>
  <c r="A87" i="1"/>
  <c r="B86" i="1"/>
  <c r="L86" i="1" s="1"/>
  <c r="A88" i="1" l="1"/>
  <c r="B87" i="1"/>
  <c r="L87" i="1" s="1"/>
  <c r="H33" i="1"/>
  <c r="E33" i="1"/>
  <c r="D33" i="1" l="1"/>
  <c r="C33" i="1" s="1"/>
  <c r="G33" i="1"/>
  <c r="A89" i="1"/>
  <c r="B88" i="1"/>
  <c r="L88" i="1" s="1"/>
  <c r="A90" i="1" l="1"/>
  <c r="B89" i="1"/>
  <c r="L89" i="1" s="1"/>
  <c r="I33" i="1"/>
  <c r="J33" i="1" s="1"/>
  <c r="K33" i="1" s="1"/>
  <c r="F33" i="1"/>
  <c r="B90" i="1" l="1"/>
  <c r="L90" i="1" s="1"/>
  <c r="A91" i="1"/>
  <c r="E34" i="1"/>
  <c r="H34" i="1"/>
  <c r="B91" i="1" l="1"/>
  <c r="L91" i="1" s="1"/>
  <c r="A92" i="1"/>
  <c r="G34" i="1"/>
  <c r="D34" i="1"/>
  <c r="C34" i="1" s="1"/>
  <c r="B92" i="1" l="1"/>
  <c r="L92" i="1" s="1"/>
  <c r="A93" i="1"/>
  <c r="I34" i="1"/>
  <c r="J34" i="1" s="1"/>
  <c r="K34" i="1" s="1"/>
  <c r="F34" i="1"/>
  <c r="B93" i="1" l="1"/>
  <c r="L93" i="1" s="1"/>
  <c r="A94" i="1"/>
  <c r="H35" i="1"/>
  <c r="E35" i="1"/>
  <c r="B94" i="1" l="1"/>
  <c r="L94" i="1" s="1"/>
  <c r="A95" i="1"/>
  <c r="B95" i="1" s="1"/>
  <c r="L95" i="1" s="1"/>
  <c r="D35" i="1"/>
  <c r="C35" i="1" s="1"/>
  <c r="G35" i="1"/>
  <c r="I35" i="1" l="1"/>
  <c r="J35" i="1" s="1"/>
  <c r="K35" i="1" s="1"/>
  <c r="F35" i="1"/>
  <c r="E36" i="1" l="1"/>
  <c r="H36" i="1"/>
  <c r="G36" i="1" l="1"/>
  <c r="D36" i="1"/>
  <c r="C36" i="1" s="1"/>
  <c r="I36" i="1" l="1"/>
  <c r="J36" i="1" s="1"/>
  <c r="K36" i="1" s="1"/>
  <c r="F36" i="1"/>
  <c r="H37" i="1" l="1"/>
  <c r="E37" i="1"/>
  <c r="D37" i="1" l="1"/>
  <c r="C37" i="1" s="1"/>
  <c r="G37" i="1"/>
  <c r="I37" i="1" l="1"/>
  <c r="J37" i="1" s="1"/>
  <c r="K37" i="1" s="1"/>
  <c r="F37" i="1"/>
  <c r="E38" i="1" l="1"/>
  <c r="H38" i="1"/>
  <c r="G38" i="1" l="1"/>
  <c r="D38" i="1"/>
  <c r="C38" i="1" s="1"/>
  <c r="I38" i="1" l="1"/>
  <c r="J38" i="1" s="1"/>
  <c r="K38" i="1" s="1"/>
  <c r="F38" i="1"/>
  <c r="H39" i="1" l="1"/>
  <c r="E39" i="1"/>
  <c r="D39" i="1" l="1"/>
  <c r="C39" i="1" s="1"/>
  <c r="G39" i="1"/>
  <c r="I39" i="1" l="1"/>
  <c r="J39" i="1" s="1"/>
  <c r="K39" i="1" s="1"/>
  <c r="F39" i="1"/>
  <c r="E40" i="1" l="1"/>
  <c r="H40" i="1"/>
  <c r="G40" i="1" l="1"/>
  <c r="D40" i="1"/>
  <c r="C40" i="1" s="1"/>
  <c r="I40" i="1" l="1"/>
  <c r="J40" i="1" s="1"/>
  <c r="K40" i="1" s="1"/>
  <c r="F40" i="1"/>
  <c r="H41" i="1" l="1"/>
  <c r="E41" i="1"/>
  <c r="D41" i="1" l="1"/>
  <c r="C41" i="1" s="1"/>
  <c r="G41" i="1"/>
  <c r="I41" i="1" l="1"/>
  <c r="J41" i="1" s="1"/>
  <c r="K41" i="1" s="1"/>
  <c r="F41" i="1"/>
  <c r="E42" i="1" l="1"/>
  <c r="H42" i="1"/>
  <c r="G42" i="1" l="1"/>
  <c r="D42" i="1"/>
  <c r="C42" i="1" s="1"/>
  <c r="I42" i="1" l="1"/>
  <c r="J42" i="1" s="1"/>
  <c r="K42" i="1" s="1"/>
  <c r="F42" i="1"/>
  <c r="H43" i="1" l="1"/>
  <c r="E43" i="1"/>
  <c r="D43" i="1" l="1"/>
  <c r="C43" i="1" s="1"/>
  <c r="G43" i="1"/>
  <c r="I43" i="1" l="1"/>
  <c r="J43" i="1" s="1"/>
  <c r="K43" i="1" s="1"/>
  <c r="F43" i="1"/>
  <c r="E44" i="1" l="1"/>
  <c r="H44" i="1"/>
  <c r="G44" i="1" l="1"/>
  <c r="D44" i="1"/>
  <c r="C44" i="1" s="1"/>
  <c r="I44" i="1" l="1"/>
  <c r="J44" i="1" s="1"/>
  <c r="K44" i="1" s="1"/>
  <c r="F44" i="1"/>
  <c r="H45" i="1" l="1"/>
  <c r="E45" i="1"/>
  <c r="D45" i="1" l="1"/>
  <c r="C45" i="1" s="1"/>
  <c r="G45" i="1"/>
  <c r="I45" i="1" l="1"/>
  <c r="J45" i="1" s="1"/>
  <c r="K45" i="1" s="1"/>
  <c r="F45" i="1"/>
  <c r="E46" i="1" l="1"/>
  <c r="H46" i="1"/>
  <c r="G46" i="1" l="1"/>
  <c r="D46" i="1"/>
  <c r="C46" i="1" s="1"/>
  <c r="I46" i="1" l="1"/>
  <c r="J46" i="1" s="1"/>
  <c r="K46" i="1" s="1"/>
  <c r="F46" i="1"/>
  <c r="H47" i="1" l="1"/>
  <c r="E47" i="1"/>
  <c r="D47" i="1" l="1"/>
  <c r="C47" i="1" s="1"/>
  <c r="G47" i="1"/>
  <c r="I47" i="1" l="1"/>
  <c r="J47" i="1" s="1"/>
  <c r="K47" i="1" s="1"/>
  <c r="F47" i="1"/>
  <c r="E48" i="1" l="1"/>
  <c r="H48" i="1"/>
  <c r="G48" i="1" l="1"/>
  <c r="D48" i="1"/>
  <c r="C48" i="1" s="1"/>
  <c r="I48" i="1" l="1"/>
  <c r="J48" i="1" s="1"/>
  <c r="K48" i="1" s="1"/>
  <c r="F48" i="1"/>
  <c r="H49" i="1" l="1"/>
  <c r="E49" i="1"/>
  <c r="D49" i="1" l="1"/>
  <c r="C49" i="1" s="1"/>
  <c r="G49" i="1"/>
  <c r="I49" i="1" l="1"/>
  <c r="J49" i="1" s="1"/>
  <c r="K49" i="1" s="1"/>
  <c r="F49" i="1"/>
  <c r="E50" i="1" l="1"/>
  <c r="H50" i="1"/>
  <c r="G50" i="1" l="1"/>
  <c r="D50" i="1"/>
  <c r="C50" i="1" s="1"/>
  <c r="I50" i="1" l="1"/>
  <c r="J50" i="1" s="1"/>
  <c r="K50" i="1" s="1"/>
  <c r="F50" i="1"/>
  <c r="H51" i="1" l="1"/>
  <c r="E51" i="1"/>
  <c r="D51" i="1" l="1"/>
  <c r="C51" i="1" s="1"/>
  <c r="G51" i="1"/>
  <c r="I51" i="1" l="1"/>
  <c r="J51" i="1" s="1"/>
  <c r="K51" i="1" s="1"/>
  <c r="F51" i="1"/>
  <c r="E52" i="1" l="1"/>
  <c r="H52" i="1"/>
  <c r="G52" i="1" l="1"/>
  <c r="D52" i="1"/>
  <c r="C52" i="1" s="1"/>
  <c r="I52" i="1" l="1"/>
  <c r="J52" i="1" s="1"/>
  <c r="K52" i="1" s="1"/>
  <c r="F52" i="1"/>
  <c r="H53" i="1" l="1"/>
  <c r="E53" i="1"/>
  <c r="D53" i="1" l="1"/>
  <c r="C53" i="1" s="1"/>
  <c r="G53" i="1"/>
  <c r="I53" i="1" l="1"/>
  <c r="J53" i="1" s="1"/>
  <c r="K53" i="1" s="1"/>
  <c r="F53" i="1"/>
  <c r="E54" i="1" l="1"/>
  <c r="H54" i="1"/>
  <c r="G54" i="1" l="1"/>
  <c r="D54" i="1"/>
  <c r="C54" i="1" s="1"/>
  <c r="I54" i="1" l="1"/>
  <c r="J54" i="1" s="1"/>
  <c r="K54" i="1" s="1"/>
  <c r="F54" i="1"/>
  <c r="H55" i="1" l="1"/>
  <c r="E55" i="1"/>
  <c r="D55" i="1" l="1"/>
  <c r="C55" i="1" s="1"/>
  <c r="G55" i="1"/>
  <c r="I55" i="1" l="1"/>
  <c r="J55" i="1" s="1"/>
  <c r="K55" i="1" s="1"/>
  <c r="F55" i="1"/>
  <c r="E56" i="1" l="1"/>
  <c r="H56" i="1"/>
  <c r="G56" i="1" l="1"/>
  <c r="D56" i="1"/>
  <c r="C56" i="1" s="1"/>
  <c r="I56" i="1" l="1"/>
  <c r="J56" i="1" s="1"/>
  <c r="K56" i="1" s="1"/>
  <c r="F56" i="1"/>
  <c r="H57" i="1" l="1"/>
  <c r="E57" i="1"/>
  <c r="D57" i="1" l="1"/>
  <c r="C57" i="1" s="1"/>
  <c r="G57" i="1"/>
  <c r="I57" i="1" l="1"/>
  <c r="J57" i="1" s="1"/>
  <c r="K57" i="1" s="1"/>
  <c r="F57" i="1"/>
  <c r="E58" i="1" l="1"/>
  <c r="H58" i="1"/>
  <c r="G58" i="1" l="1"/>
  <c r="D58" i="1"/>
  <c r="C58" i="1" s="1"/>
  <c r="I58" i="1" l="1"/>
  <c r="J58" i="1" s="1"/>
  <c r="K58" i="1" s="1"/>
  <c r="F58" i="1"/>
  <c r="H59" i="1" l="1"/>
  <c r="E59" i="1"/>
  <c r="D59" i="1" l="1"/>
  <c r="C59" i="1" s="1"/>
  <c r="G59" i="1"/>
  <c r="I59" i="1" l="1"/>
  <c r="J59" i="1" s="1"/>
  <c r="K59" i="1" s="1"/>
  <c r="F59" i="1"/>
  <c r="E60" i="1" l="1"/>
  <c r="H60" i="1"/>
  <c r="G60" i="1" l="1"/>
  <c r="D60" i="1"/>
  <c r="C60" i="1" s="1"/>
  <c r="I60" i="1" l="1"/>
  <c r="J60" i="1" s="1"/>
  <c r="K60" i="1" s="1"/>
  <c r="F60" i="1"/>
  <c r="H61" i="1" l="1"/>
  <c r="E61" i="1"/>
  <c r="D61" i="1" l="1"/>
  <c r="C61" i="1" s="1"/>
  <c r="G61" i="1"/>
  <c r="I61" i="1" l="1"/>
  <c r="J61" i="1" s="1"/>
  <c r="K61" i="1" s="1"/>
  <c r="F61" i="1"/>
  <c r="E62" i="1" l="1"/>
  <c r="H62" i="1"/>
  <c r="G62" i="1" l="1"/>
  <c r="D62" i="1"/>
  <c r="C62" i="1" s="1"/>
  <c r="I62" i="1" l="1"/>
  <c r="J62" i="1" s="1"/>
  <c r="K62" i="1" s="1"/>
  <c r="F62" i="1"/>
  <c r="H63" i="1" l="1"/>
  <c r="E63" i="1"/>
  <c r="D63" i="1" l="1"/>
  <c r="C63" i="1" s="1"/>
  <c r="G63" i="1"/>
  <c r="I63" i="1" l="1"/>
  <c r="J63" i="1" s="1"/>
  <c r="K63" i="1" s="1"/>
  <c r="F63" i="1"/>
  <c r="E64" i="1" l="1"/>
  <c r="H64" i="1"/>
  <c r="G64" i="1" l="1"/>
  <c r="D64" i="1"/>
  <c r="C64" i="1" s="1"/>
  <c r="I64" i="1" l="1"/>
  <c r="J64" i="1" s="1"/>
  <c r="K64" i="1" s="1"/>
  <c r="F64" i="1"/>
  <c r="H65" i="1" l="1"/>
  <c r="E65" i="1"/>
  <c r="D65" i="1" l="1"/>
  <c r="C65" i="1" s="1"/>
  <c r="G65" i="1"/>
  <c r="I65" i="1" l="1"/>
  <c r="J65" i="1" s="1"/>
  <c r="K65" i="1" s="1"/>
  <c r="F65" i="1"/>
  <c r="E66" i="1" l="1"/>
  <c r="H66" i="1"/>
  <c r="G66" i="1" l="1"/>
  <c r="D66" i="1"/>
  <c r="C66" i="1" s="1"/>
  <c r="I66" i="1" l="1"/>
  <c r="J66" i="1" s="1"/>
  <c r="K66" i="1" s="1"/>
  <c r="F66" i="1"/>
  <c r="H67" i="1" l="1"/>
  <c r="E67" i="1"/>
  <c r="D67" i="1" l="1"/>
  <c r="C67" i="1" s="1"/>
  <c r="G67" i="1"/>
  <c r="I67" i="1" l="1"/>
  <c r="J67" i="1" s="1"/>
  <c r="K67" i="1" s="1"/>
  <c r="F67" i="1"/>
  <c r="E68" i="1" l="1"/>
  <c r="H68" i="1"/>
  <c r="G68" i="1" l="1"/>
  <c r="D68" i="1"/>
  <c r="C68" i="1" s="1"/>
  <c r="I68" i="1" l="1"/>
  <c r="J68" i="1" s="1"/>
  <c r="K68" i="1" s="1"/>
  <c r="F68" i="1"/>
  <c r="H69" i="1" l="1"/>
  <c r="E69" i="1"/>
  <c r="D69" i="1" l="1"/>
  <c r="C69" i="1" s="1"/>
  <c r="G69" i="1"/>
  <c r="I69" i="1" l="1"/>
  <c r="J69" i="1" s="1"/>
  <c r="K69" i="1" s="1"/>
  <c r="F69" i="1"/>
  <c r="E70" i="1" l="1"/>
  <c r="H70" i="1"/>
  <c r="G70" i="1" l="1"/>
  <c r="D70" i="1"/>
  <c r="C70" i="1" s="1"/>
  <c r="I70" i="1" l="1"/>
  <c r="J70" i="1" s="1"/>
  <c r="K70" i="1" s="1"/>
  <c r="F70" i="1"/>
  <c r="H71" i="1" l="1"/>
  <c r="E71" i="1"/>
  <c r="D71" i="1" l="1"/>
  <c r="C71" i="1" s="1"/>
  <c r="G71" i="1"/>
  <c r="I71" i="1" l="1"/>
  <c r="J71" i="1" s="1"/>
  <c r="K71" i="1" s="1"/>
  <c r="F71" i="1"/>
  <c r="E72" i="1" l="1"/>
  <c r="H72" i="1"/>
  <c r="G72" i="1" l="1"/>
  <c r="D72" i="1"/>
  <c r="C72" i="1" s="1"/>
  <c r="I72" i="1" l="1"/>
  <c r="J72" i="1" s="1"/>
  <c r="K72" i="1" s="1"/>
  <c r="F72" i="1"/>
  <c r="H73" i="1" l="1"/>
  <c r="E73" i="1"/>
  <c r="D73" i="1" l="1"/>
  <c r="C73" i="1" s="1"/>
  <c r="G73" i="1"/>
  <c r="I73" i="1" l="1"/>
  <c r="J73" i="1" s="1"/>
  <c r="K73" i="1" s="1"/>
  <c r="F73" i="1"/>
  <c r="E74" i="1" l="1"/>
  <c r="H74" i="1"/>
  <c r="G74" i="1" l="1"/>
  <c r="D74" i="1"/>
  <c r="C74" i="1" s="1"/>
  <c r="I74" i="1" l="1"/>
  <c r="J74" i="1" s="1"/>
  <c r="K74" i="1" s="1"/>
  <c r="F74" i="1"/>
  <c r="H75" i="1" l="1"/>
  <c r="E75" i="1"/>
  <c r="D75" i="1" l="1"/>
  <c r="C75" i="1" s="1"/>
  <c r="G75" i="1"/>
  <c r="I75" i="1" l="1"/>
  <c r="J75" i="1" s="1"/>
  <c r="K75" i="1" s="1"/>
  <c r="F75" i="1"/>
  <c r="E76" i="1" l="1"/>
  <c r="H76" i="1"/>
  <c r="G76" i="1" l="1"/>
  <c r="D76" i="1"/>
  <c r="C76" i="1" s="1"/>
  <c r="I76" i="1" l="1"/>
  <c r="J76" i="1" s="1"/>
  <c r="K76" i="1" s="1"/>
  <c r="F76" i="1"/>
  <c r="H77" i="1" l="1"/>
  <c r="E77" i="1"/>
  <c r="D77" i="1" l="1"/>
  <c r="C77" i="1" s="1"/>
  <c r="G77" i="1"/>
  <c r="I77" i="1" l="1"/>
  <c r="J77" i="1" s="1"/>
  <c r="K77" i="1" s="1"/>
  <c r="F77" i="1"/>
  <c r="E78" i="1" l="1"/>
  <c r="H78" i="1"/>
  <c r="G78" i="1" l="1"/>
  <c r="D78" i="1"/>
  <c r="C78" i="1" s="1"/>
  <c r="I78" i="1" l="1"/>
  <c r="J78" i="1" s="1"/>
  <c r="K78" i="1" s="1"/>
  <c r="F78" i="1"/>
  <c r="H79" i="1" l="1"/>
  <c r="E79" i="1"/>
  <c r="D79" i="1" l="1"/>
  <c r="C79" i="1" s="1"/>
  <c r="G79" i="1"/>
  <c r="I79" i="1" l="1"/>
  <c r="J79" i="1" s="1"/>
  <c r="K79" i="1" s="1"/>
  <c r="F79" i="1"/>
  <c r="E80" i="1" l="1"/>
  <c r="H80" i="1"/>
  <c r="G80" i="1" l="1"/>
  <c r="D80" i="1"/>
  <c r="C80" i="1" s="1"/>
  <c r="I80" i="1" l="1"/>
  <c r="J80" i="1" s="1"/>
  <c r="K80" i="1" s="1"/>
  <c r="F80" i="1"/>
  <c r="H81" i="1" l="1"/>
  <c r="E81" i="1"/>
  <c r="D81" i="1" l="1"/>
  <c r="C81" i="1" s="1"/>
  <c r="G81" i="1"/>
  <c r="I81" i="1" l="1"/>
  <c r="J81" i="1" s="1"/>
  <c r="K81" i="1" s="1"/>
  <c r="F81" i="1"/>
  <c r="E82" i="1" l="1"/>
  <c r="H82" i="1"/>
  <c r="G82" i="1" l="1"/>
  <c r="D82" i="1"/>
  <c r="C82" i="1" s="1"/>
  <c r="I82" i="1" l="1"/>
  <c r="J82" i="1" s="1"/>
  <c r="K82" i="1" s="1"/>
  <c r="F82" i="1"/>
  <c r="H83" i="1" l="1"/>
  <c r="E83" i="1"/>
  <c r="D83" i="1" l="1"/>
  <c r="C83" i="1" s="1"/>
  <c r="G83" i="1"/>
  <c r="I83" i="1" l="1"/>
  <c r="J83" i="1" s="1"/>
  <c r="K83" i="1" s="1"/>
  <c r="F83" i="1"/>
  <c r="E84" i="1" l="1"/>
  <c r="H84" i="1"/>
  <c r="G84" i="1" l="1"/>
  <c r="D84" i="1"/>
  <c r="C84" i="1" s="1"/>
  <c r="I84" i="1" l="1"/>
  <c r="J84" i="1" s="1"/>
  <c r="K84" i="1" s="1"/>
  <c r="F84" i="1"/>
  <c r="H85" i="1" l="1"/>
  <c r="E85" i="1"/>
  <c r="D85" i="1" l="1"/>
  <c r="C85" i="1" s="1"/>
  <c r="G85" i="1"/>
  <c r="I85" i="1" l="1"/>
  <c r="J85" i="1" s="1"/>
  <c r="K85" i="1" s="1"/>
  <c r="F85" i="1"/>
  <c r="E86" i="1" l="1"/>
  <c r="H86" i="1"/>
  <c r="G86" i="1" l="1"/>
  <c r="D86" i="1"/>
  <c r="C86" i="1" s="1"/>
  <c r="I86" i="1" l="1"/>
  <c r="J86" i="1" s="1"/>
  <c r="K86" i="1" s="1"/>
  <c r="F86" i="1"/>
  <c r="H87" i="1" l="1"/>
  <c r="E87" i="1"/>
  <c r="D87" i="1" l="1"/>
  <c r="C87" i="1" s="1"/>
  <c r="G87" i="1"/>
  <c r="I87" i="1" l="1"/>
  <c r="J87" i="1" s="1"/>
  <c r="K87" i="1" s="1"/>
  <c r="F87" i="1"/>
  <c r="E88" i="1" l="1"/>
  <c r="H88" i="1"/>
  <c r="G88" i="1" l="1"/>
  <c r="D88" i="1"/>
  <c r="C88" i="1" s="1"/>
  <c r="I88" i="1" l="1"/>
  <c r="J88" i="1" s="1"/>
  <c r="K88" i="1" s="1"/>
  <c r="F88" i="1"/>
  <c r="H89" i="1" l="1"/>
  <c r="E89" i="1"/>
  <c r="D89" i="1" l="1"/>
  <c r="C89" i="1" s="1"/>
  <c r="G89" i="1"/>
  <c r="I89" i="1" l="1"/>
  <c r="J89" i="1" s="1"/>
  <c r="K89" i="1" s="1"/>
  <c r="F89" i="1"/>
  <c r="E90" i="1" l="1"/>
  <c r="H90" i="1"/>
  <c r="G90" i="1" l="1"/>
  <c r="D90" i="1"/>
  <c r="C90" i="1" s="1"/>
  <c r="I90" i="1"/>
  <c r="J90" i="1" s="1"/>
  <c r="K90" i="1" s="1"/>
  <c r="F90" i="1"/>
  <c r="H91" i="1" l="1"/>
  <c r="E91" i="1"/>
  <c r="D91" i="1" l="1"/>
  <c r="C91" i="1" s="1"/>
  <c r="G91" i="1"/>
  <c r="F91" i="1" l="1"/>
  <c r="I91" i="1"/>
  <c r="J91" i="1" s="1"/>
  <c r="K91" i="1" s="1"/>
  <c r="E92" i="1" l="1"/>
  <c r="H92" i="1"/>
  <c r="G92" i="1" l="1"/>
  <c r="D92" i="1"/>
  <c r="C92" i="1" s="1"/>
  <c r="F92" i="1" l="1"/>
  <c r="I92" i="1"/>
  <c r="J92" i="1" s="1"/>
  <c r="K92" i="1" s="1"/>
  <c r="H93" i="1" l="1"/>
  <c r="E93" i="1"/>
  <c r="D93" i="1" l="1"/>
  <c r="C93" i="1" s="1"/>
  <c r="G93" i="1"/>
  <c r="F93" i="1" l="1"/>
  <c r="I93" i="1"/>
  <c r="J93" i="1" s="1"/>
  <c r="K93" i="1" s="1"/>
  <c r="E94" i="1" l="1"/>
  <c r="H94" i="1"/>
  <c r="G94" i="1" l="1"/>
  <c r="D94" i="1"/>
  <c r="C94" i="1" s="1"/>
  <c r="F94" i="1" l="1"/>
  <c r="I94" i="1"/>
  <c r="J94" i="1" s="1"/>
  <c r="K94" i="1" s="1"/>
  <c r="H95" i="1" l="1"/>
  <c r="G95" i="1" s="1"/>
  <c r="E95" i="1"/>
  <c r="D95" i="1" s="1"/>
  <c r="C95" i="1" s="1"/>
  <c r="F95" i="1" l="1"/>
  <c r="I95" i="1"/>
  <c r="J95" i="1" s="1"/>
  <c r="K95" i="1" s="1"/>
</calcChain>
</file>

<file path=xl/sharedStrings.xml><?xml version="1.0" encoding="utf-8"?>
<sst xmlns="http://schemas.openxmlformats.org/spreadsheetml/2006/main" count="23" uniqueCount="23">
  <si>
    <t>dt(sec)</t>
  </si>
  <si>
    <t>C0 Beads (mM)</t>
  </si>
  <si>
    <t>R beads (cm)</t>
  </si>
  <si>
    <t>numb of beads</t>
  </si>
  <si>
    <t>C0 Water (mM)</t>
  </si>
  <si>
    <t>vol water (ml)</t>
  </si>
  <si>
    <t>D(cm^2/sec)</t>
  </si>
  <si>
    <t>k</t>
  </si>
  <si>
    <t>n</t>
  </si>
  <si>
    <t>Vol of all beads (ml)</t>
  </si>
  <si>
    <t>SA of all beads (cm^2)</t>
  </si>
  <si>
    <t>Time(Sec)</t>
  </si>
  <si>
    <t>Time (mins)</t>
  </si>
  <si>
    <t>C Beads(mmol)</t>
  </si>
  <si>
    <t>C Beads(mols/ml)</t>
  </si>
  <si>
    <t>moles in bead</t>
  </si>
  <si>
    <t>C Water (mM)</t>
  </si>
  <si>
    <t>C Water (mol/l)</t>
  </si>
  <si>
    <t>moles of dye in water</t>
  </si>
  <si>
    <t>dC/dx</t>
  </si>
  <si>
    <t>J(moles/cm^2 sec)</t>
  </si>
  <si>
    <t>dye diffused (moles)</t>
  </si>
  <si>
    <t>Ritger - Peppas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</si>
</sst>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Dye Conc in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Time (mins)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xVal>
            <c:strRef>
              <c:f>Sheet1!B4:B95</c:f>
              <c:strCache>
                <c:ptCount val="92"/>
                <c:pt idx="0">
                  <c:v>Time (mins)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</c:strCache>
            </c:strRef>
          </c:xVal>
          <c:yVal>
            <c:numRef>
              <c:f>Sheet1!F5:F95</c:f>
              <c:numCache>
                <c:formatCode>General</c:formatCode>
                <c:ptCount val="91"/>
                <c:pt idx="0">
                  <c:v>0</c:v>
                </c:pt>
                <c:pt idx="1">
                  <c:v>2.8274333882308149E-2</c:v>
                </c:pt>
                <c:pt idx="2">
                  <c:v>5.1192808346971409E-2</c:v>
                </c:pt>
                <c:pt idx="3">
                  <c:v>6.9769955874966275E-2</c:v>
                </c:pt>
                <c:pt idx="4">
                  <c:v>8.4828131357326253E-2</c:v>
                </c:pt>
                <c:pt idx="5">
                  <c:v>9.7033915292445899E-2</c:v>
                </c:pt>
                <c:pt idx="6">
                  <c:v>0.10692762131581837</c:v>
                </c:pt>
                <c:pt idx="7">
                  <c:v>0.1149472142725044</c:v>
                </c:pt>
                <c:pt idx="8">
                  <c:v>0.12144769761403441</c:v>
                </c:pt>
                <c:pt idx="9">
                  <c:v>0.12671682834195741</c:v>
                </c:pt>
                <c:pt idx="10">
                  <c:v>0.13098785515169734</c:v>
                </c:pt>
                <c:pt idx="11">
                  <c:v>0.1344498436563378</c:v>
                </c:pt>
                <c:pt idx="12">
                  <c:v>0.137256045757184</c:v>
                </c:pt>
                <c:pt idx="13">
                  <c:v>0.13953068364816437</c:v>
                </c:pt>
                <c:pt idx="14">
                  <c:v>0.14137444876170463</c:v>
                </c:pt>
                <c:pt idx="15">
                  <c:v>0.14286895907800071</c:v>
                </c:pt>
                <c:pt idx="16">
                  <c:v>0.14408037210947233</c:v>
                </c:pt>
                <c:pt idx="17">
                  <c:v>0.14506231349643867</c:v>
                </c:pt>
                <c:pt idx="18">
                  <c:v>0.14585825085420839</c:v>
                </c:pt>
                <c:pt idx="19">
                  <c:v>0.14650341795471192</c:v>
                </c:pt>
                <c:pt idx="20">
                  <c:v>0.14702637442045496</c:v>
                </c:pt>
                <c:pt idx="21">
                  <c:v>0.14745026997379149</c:v>
                </c:pt>
                <c:pt idx="22">
                  <c:v>0.14779386920605869</c:v>
                </c:pt>
                <c:pt idx="23">
                  <c:v>0.14807238223004621</c:v>
                </c:pt>
                <c:pt idx="24">
                  <c:v>0.14829813798630567</c:v>
                </c:pt>
                <c:pt idx="25">
                  <c:v>0.14848113000856233</c:v>
                </c:pt>
                <c:pt idx="26">
                  <c:v>0.14862945880763442</c:v>
                </c:pt>
                <c:pt idx="27">
                  <c:v>0.14874969045687711</c:v>
                </c:pt>
                <c:pt idx="28">
                  <c:v>0.14884714725265813</c:v>
                </c:pt>
                <c:pt idx="29">
                  <c:v>0.14892614331653758</c:v>
                </c:pt>
                <c:pt idx="30">
                  <c:v>0.14899017556855687</c:v>
                </c:pt>
                <c:pt idx="31">
                  <c:v>0.14904207852545509</c:v>
                </c:pt>
                <c:pt idx="32">
                  <c:v>0.14908414977626736</c:v>
                </c:pt>
                <c:pt idx="33">
                  <c:v>0.14911825168973597</c:v>
                </c:pt>
                <c:pt idx="34">
                  <c:v>0.14914589385581775</c:v>
                </c:pt>
                <c:pt idx="35">
                  <c:v>0.14916829991072716</c:v>
                </c:pt>
                <c:pt idx="36">
                  <c:v>0.14918646170366037</c:v>
                </c:pt>
                <c:pt idx="37">
                  <c:v>0.14920118320299983</c:v>
                </c:pt>
                <c:pt idx="38">
                  <c:v>0.14921311608559568</c:v>
                </c:pt>
                <c:pt idx="39">
                  <c:v>0.14922278858455537</c:v>
                </c:pt>
                <c:pt idx="40">
                  <c:v>0.14923062887254729</c:v>
                </c:pt>
                <c:pt idx="41">
                  <c:v>0.14923698401572721</c:v>
                </c:pt>
                <c:pt idx="42">
                  <c:v>0.14924213533732134</c:v>
                </c:pt>
                <c:pt idx="43">
                  <c:v>0.14924631087096632</c:v>
                </c:pt>
                <c:pt idx="44">
                  <c:v>0.14924969545507771</c:v>
                </c:pt>
                <c:pt idx="45">
                  <c:v>0.14925243891509532</c:v>
                </c:pt>
                <c:pt idx="46">
                  <c:v>0.14925466269580825</c:v>
                </c:pt>
                <c:pt idx="47">
                  <c:v>0.14925646523735339</c:v>
                </c:pt>
                <c:pt idx="48">
                  <c:v>0.14925792633286658</c:v>
                </c:pt>
                <c:pt idx="49">
                  <c:v>0.14925911066068659</c:v>
                </c:pt>
                <c:pt idx="50">
                  <c:v>0.14926007064747229</c:v>
                </c:pt>
                <c:pt idx="51">
                  <c:v>0.14926084878897425</c:v>
                </c:pt>
                <c:pt idx="52">
                  <c:v>0.14926147953119498</c:v>
                </c:pt>
                <c:pt idx="53">
                  <c:v>0.1492619907952106</c:v>
                </c:pt>
                <c:pt idx="54">
                  <c:v>0.14926240521315359</c:v>
                </c:pt>
                <c:pt idx="55">
                  <c:v>0.14926274113006974</c:v>
                </c:pt>
                <c:pt idx="56">
                  <c:v>0.14926301341599862</c:v>
                </c:pt>
                <c:pt idx="57">
                  <c:v>0.1492632341242259</c:v>
                </c:pt>
                <c:pt idx="58">
                  <c:v>0.14926341302484625</c:v>
                </c:pt>
                <c:pt idx="59">
                  <c:v>0.14926355803725627</c:v>
                </c:pt>
                <c:pt idx="60">
                  <c:v>0.14926367558072276</c:v>
                </c:pt>
                <c:pt idx="61">
                  <c:v>0.1492637708585442</c:v>
                </c:pt>
                <c:pt idx="62">
                  <c:v>0.14926384808838547</c:v>
                </c:pt>
                <c:pt idx="63">
                  <c:v>0.14926391068898121</c:v>
                </c:pt>
                <c:pt idx="64">
                  <c:v>0.149263961431473</c:v>
                </c:pt>
                <c:pt idx="65">
                  <c:v>0.14926400256207953</c:v>
                </c:pt>
                <c:pt idx="66">
                  <c:v>0.14926403590153006</c:v>
                </c:pt>
                <c:pt idx="67">
                  <c:v>0.14926406292566258</c:v>
                </c:pt>
                <c:pt idx="68">
                  <c:v>0.14926408483075479</c:v>
                </c:pt>
                <c:pt idx="69">
                  <c:v>0.14926410258647976</c:v>
                </c:pt>
                <c:pt idx="70">
                  <c:v>0.14926411697883049</c:v>
                </c:pt>
                <c:pt idx="71">
                  <c:v>0.14926412864491337</c:v>
                </c:pt>
                <c:pt idx="72">
                  <c:v>0.14926413810115108</c:v>
                </c:pt>
                <c:pt idx="73">
                  <c:v>0.14926414576614308</c:v>
                </c:pt>
                <c:pt idx="74">
                  <c:v>0.14926415197919565</c:v>
                </c:pt>
                <c:pt idx="75">
                  <c:v>0.14926415701534215</c:v>
                </c:pt>
                <c:pt idx="76">
                  <c:v>0.14926416109751769</c:v>
                </c:pt>
                <c:pt idx="77">
                  <c:v>0.14926416440642806</c:v>
                </c:pt>
                <c:pt idx="78">
                  <c:v>0.14926416708854881</c:v>
                </c:pt>
                <c:pt idx="79">
                  <c:v>0.14926416926260941</c:v>
                </c:pt>
                <c:pt idx="80">
                  <c:v>0.14926417102484907</c:v>
                </c:pt>
                <c:pt idx="81">
                  <c:v>0.14926417245327689</c:v>
                </c:pt>
                <c:pt idx="82">
                  <c:v>0.14926417361112509</c:v>
                </c:pt>
                <c:pt idx="83">
                  <c:v>0.14926417454964813</c:v>
                </c:pt>
                <c:pt idx="84">
                  <c:v>0.14926417531039166</c:v>
                </c:pt>
                <c:pt idx="85">
                  <c:v>0.14926417592703151</c:v>
                </c:pt>
                <c:pt idx="86">
                  <c:v>0.14926417642686449</c:v>
                </c:pt>
                <c:pt idx="87">
                  <c:v>0.14926417683201673</c:v>
                </c:pt>
                <c:pt idx="88">
                  <c:v>0.14926417716042309</c:v>
                </c:pt>
                <c:pt idx="89">
                  <c:v>0.14926417742662115</c:v>
                </c:pt>
                <c:pt idx="90">
                  <c:v>0.14926417764239469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2A-4FFA-98E2-5F67473EF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28168"/>
        <c:axId val="1408030728"/>
      </c:scatterChart>
      <c:valAx>
        <c:axId val="140802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30728"/>
        <c:crosses val="autoZero"/>
        <c:crossBetween val="midCat"/>
      </c:valAx>
      <c:valAx>
        <c:axId val="140803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Conc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28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Dye Conc in Bead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xVal>
            <c:numRef>
              <c:f>Sheet1!$B$5:$B$95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Sheet1!$C$5:$C$95</c:f>
              <c:numCache>
                <c:formatCode>General</c:formatCode>
                <c:ptCount val="91"/>
                <c:pt idx="0">
                  <c:v>3</c:v>
                </c:pt>
                <c:pt idx="1">
                  <c:v>2.4599999999999995</c:v>
                </c:pt>
                <c:pt idx="2">
                  <c:v>2.0222893800988153</c:v>
                </c:pt>
                <c:pt idx="3">
                  <c:v>1.6674919971834836</c:v>
                </c:pt>
                <c:pt idx="4">
                  <c:v>1.3799020297479503</c:v>
                </c:pt>
                <c:pt idx="5">
                  <c:v>1.1467887280376381</c:v>
                </c:pt>
                <c:pt idx="6">
                  <c:v>0.95783286174350357</c:v>
                </c:pt>
                <c:pt idx="7">
                  <c:v>0.80466991846652025</c:v>
                </c:pt>
                <c:pt idx="8">
                  <c:v>0.68051983171159736</c:v>
                </c:pt>
                <c:pt idx="9">
                  <c:v>0.57988684757403608</c:v>
                </c:pt>
                <c:pt idx="10">
                  <c:v>0.49831624411226194</c:v>
                </c:pt>
                <c:pt idx="11">
                  <c:v>0.43219713409936023</c:v>
                </c:pt>
                <c:pt idx="12">
                  <c:v>0.37860262181961624</c:v>
                </c:pt>
                <c:pt idx="13">
                  <c:v>0.33516023812837836</c:v>
                </c:pt>
                <c:pt idx="14">
                  <c:v>0.29994691832193987</c:v>
                </c:pt>
                <c:pt idx="15">
                  <c:v>0.27140387380109754</c:v>
                </c:pt>
                <c:pt idx="16">
                  <c:v>0.24826758915094013</c:v>
                </c:pt>
                <c:pt idx="17">
                  <c:v>0.22951389008347592</c:v>
                </c:pt>
                <c:pt idx="18">
                  <c:v>0.21431260629780924</c:v>
                </c:pt>
                <c:pt idx="19">
                  <c:v>0.20199082231796106</c:v>
                </c:pt>
                <c:pt idx="20">
                  <c:v>0.19200308953257622</c:v>
                </c:pt>
                <c:pt idx="21">
                  <c:v>0.18390728081239438</c:v>
                </c:pt>
                <c:pt idx="22">
                  <c:v>0.17734501886144585</c:v>
                </c:pt>
                <c:pt idx="23">
                  <c:v>0.17202581192347619</c:v>
                </c:pt>
                <c:pt idx="24">
                  <c:v>0.16771419457865877</c:v>
                </c:pt>
                <c:pt idx="25">
                  <c:v>0.16421930439203522</c:v>
                </c:pt>
                <c:pt idx="26">
                  <c:v>0.16138643300301012</c:v>
                </c:pt>
                <c:pt idx="27">
                  <c:v>0.1590901776478425</c:v>
                </c:pt>
                <c:pt idx="28">
                  <c:v>0.1572288899534687</c:v>
                </c:pt>
                <c:pt idx="29">
                  <c:v>0.15572017626732279</c:v>
                </c:pt>
                <c:pt idx="30">
                  <c:v>0.1544972503361815</c:v>
                </c:pt>
                <c:pt idx="31">
                  <c:v>0.15350597687800907</c:v>
                </c:pt>
                <c:pt idx="32">
                  <c:v>0.15270247517454938</c:v>
                </c:pt>
                <c:pt idx="33">
                  <c:v>0.15205117660285861</c:v>
                </c:pt>
                <c:pt idx="34">
                  <c:v>0.15152325011849652</c:v>
                </c:pt>
                <c:pt idx="35">
                  <c:v>0.15109532599121431</c:v>
                </c:pt>
                <c:pt idx="36">
                  <c:v>0.15074846129672662</c:v>
                </c:pt>
                <c:pt idx="37">
                  <c:v>0.15046730136997472</c:v>
                </c:pt>
                <c:pt idx="38">
                  <c:v>0.15023940009991926</c:v>
                </c:pt>
                <c:pt idx="39">
                  <c:v>0.15005466897734099</c:v>
                </c:pt>
                <c:pt idx="40">
                  <c:v>0.14990493050663958</c:v>
                </c:pt>
                <c:pt idx="41">
                  <c:v>0.14978355621250294</c:v>
                </c:pt>
                <c:pt idx="42">
                  <c:v>0.14968517321708333</c:v>
                </c:pt>
                <c:pt idx="43">
                  <c:v>0.14960542639872615</c:v>
                </c:pt>
                <c:pt idx="44">
                  <c:v>0.14954078560372938</c:v>
                </c:pt>
                <c:pt idx="45">
                  <c:v>0.14948838937697209</c:v>
                </c:pt>
                <c:pt idx="46">
                  <c:v>0.14944591829383427</c:v>
                </c:pt>
                <c:pt idx="47">
                  <c:v>0.14941149228618955</c:v>
                </c:pt>
                <c:pt idx="48">
                  <c:v>0.14938358741739904</c:v>
                </c:pt>
                <c:pt idx="49">
                  <c:v>0.14936096842218319</c:v>
                </c:pt>
                <c:pt idx="50">
                  <c:v>0.1493426340251138</c:v>
                </c:pt>
                <c:pt idx="51">
                  <c:v>0.14932777261713834</c:v>
                </c:pt>
                <c:pt idx="52">
                  <c:v>0.1493157263280688</c:v>
                </c:pt>
                <c:pt idx="53">
                  <c:v>0.14930596190463152</c:v>
                </c:pt>
                <c:pt idx="54">
                  <c:v>0.14929804710493574</c:v>
                </c:pt>
                <c:pt idx="55">
                  <c:v>0.14929163156441491</c:v>
                </c:pt>
                <c:pt idx="56">
                  <c:v>0.14928643128623278</c:v>
                </c:pt>
                <c:pt idx="57">
                  <c:v>0.14928221606959063</c:v>
                </c:pt>
                <c:pt idx="58">
                  <c:v>0.14927879931942498</c:v>
                </c:pt>
                <c:pt idx="59">
                  <c:v>0.14927602978640078</c:v>
                </c:pt>
                <c:pt idx="60">
                  <c:v>0.14927378487155479</c:v>
                </c:pt>
                <c:pt idx="61">
                  <c:v>0.14927196519920502</c:v>
                </c:pt>
                <c:pt idx="62">
                  <c:v>0.14927049021788608</c:v>
                </c:pt>
                <c:pt idx="63">
                  <c:v>0.14926929463457594</c:v>
                </c:pt>
                <c:pt idx="64">
                  <c:v>0.14926832552436889</c:v>
                </c:pt>
                <c:pt idx="65">
                  <c:v>0.14926753998764763</c:v>
                </c:pt>
                <c:pt idx="66">
                  <c:v>0.14926690325104539</c:v>
                </c:pt>
                <c:pt idx="67">
                  <c:v>0.14926638712813262</c:v>
                </c:pt>
                <c:pt idx="68">
                  <c:v>0.14926596877168802</c:v>
                </c:pt>
                <c:pt idx="69">
                  <c:v>0.14926562966232007</c:v>
                </c:pt>
                <c:pt idx="70">
                  <c:v>0.14926535478866876</c:v>
                </c:pt>
                <c:pt idx="71">
                  <c:v>0.1492651319828979</c:v>
                </c:pt>
                <c:pt idx="72">
                  <c:v>0.1492649513820607</c:v>
                </c:pt>
                <c:pt idx="73">
                  <c:v>0.14926480499149694</c:v>
                </c:pt>
                <c:pt idx="74">
                  <c:v>0.14926468633093323</c:v>
                </c:pt>
                <c:pt idx="75">
                  <c:v>0.14926459014762047</c:v>
                </c:pt>
                <c:pt idx="76">
                  <c:v>0.1492645121838104</c:v>
                </c:pt>
                <c:pt idx="77">
                  <c:v>0.1492644489882777</c:v>
                </c:pt>
                <c:pt idx="78">
                  <c:v>0.14926439776354475</c:v>
                </c:pt>
                <c:pt idx="79">
                  <c:v>0.14926435624204548</c:v>
                </c:pt>
                <c:pt idx="80">
                  <c:v>0.14926432258574698</c:v>
                </c:pt>
                <c:pt idx="81">
                  <c:v>0.14926429530478535</c:v>
                </c:pt>
                <c:pt idx="82">
                  <c:v>0.14926427319151384</c:v>
                </c:pt>
                <c:pt idx="83">
                  <c:v>0.14926425526704382</c:v>
                </c:pt>
                <c:pt idx="84">
                  <c:v>0.14926424073791261</c:v>
                </c:pt>
                <c:pt idx="85">
                  <c:v>0.14926422896095881</c:v>
                </c:pt>
                <c:pt idx="86">
                  <c:v>0.14926421941485191</c:v>
                </c:pt>
                <c:pt idx="87">
                  <c:v>0.14926421167701417</c:v>
                </c:pt>
                <c:pt idx="88">
                  <c:v>0.14926420540491464</c:v>
                </c:pt>
                <c:pt idx="89">
                  <c:v>0.14926420032090615</c:v>
                </c:pt>
                <c:pt idx="90">
                  <c:v>0.14926419619993483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64-437E-ACF0-4B1F351C5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862856"/>
        <c:axId val="1086871560"/>
      </c:scatterChart>
      <c:valAx>
        <c:axId val="108686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71560"/>
        <c:crosses val="autoZero"/>
        <c:crossBetween val="midCat"/>
      </c:valAx>
      <c:valAx>
        <c:axId val="10868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in Bead (mol)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6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Ritget-Peppas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xVal>
            <c:numRef>
              <c:f>Sheet1!B5:B95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Sheet1!$L$5:$L$95</c:f>
              <c:numCache>
                <c:formatCode>General</c:formatCode>
                <c:ptCount val="91"/>
                <c:pt idx="0">
                  <c:v>0</c:v>
                </c:pt>
                <c:pt idx="1">
                  <c:v>0.5</c:v>
                </c:pt>
                <c:pt idx="2">
                  <c:v>0.67361678843284511</c:v>
                </c:pt>
                <c:pt idx="3">
                  <c:v>0.80192202908617227</c:v>
                </c:pt>
                <c:pt idx="4">
                  <c:v>0.90751915531716087</c:v>
                </c:pt>
                <c:pt idx="5">
                  <c:v>0.99891171439948556</c:v>
                </c:pt>
                <c:pt idx="6">
                  <c:v>1.0803762836131559</c:v>
                </c:pt>
                <c:pt idx="7">
                  <c:v>1.1544155326215062</c:v>
                </c:pt>
                <c:pt idx="8">
                  <c:v>1.2226402776920684</c:v>
                </c:pt>
                <c:pt idx="9">
                  <c:v>1.2861578814673675</c:v>
                </c:pt>
                <c:pt idx="10">
                  <c:v>1.345767401963458</c:v>
                </c:pt>
                <c:pt idx="11">
                  <c:v>1.402067294994604</c:v>
                </c:pt>
                <c:pt idx="12">
                  <c:v>1.4555192049330137</c:v>
                </c:pt>
                <c:pt idx="13">
                  <c:v>1.5064878931522347</c:v>
                </c:pt>
                <c:pt idx="14">
                  <c:v>1.5552673672029826</c:v>
                </c:pt>
                <c:pt idx="15">
                  <c:v>1.6020986177783649</c:v>
                </c:pt>
                <c:pt idx="16">
                  <c:v>1.6471820345351462</c:v>
                </c:pt>
                <c:pt idx="17">
                  <c:v>1.6906863274040216</c:v>
                </c:pt>
                <c:pt idx="18">
                  <c:v>1.7327550830632799</c:v>
                </c:pt>
                <c:pt idx="19">
                  <c:v>1.7735116789794794</c:v>
                </c:pt>
                <c:pt idx="20">
                  <c:v>1.8130630305764761</c:v>
                </c:pt>
                <c:pt idx="21">
                  <c:v>1.8515024926568653</c:v>
                </c:pt>
                <c:pt idx="22">
                  <c:v>1.8889121368419832</c:v>
                </c:pt>
                <c:pt idx="23">
                  <c:v>1.9253645612748462</c:v>
                </c:pt>
                <c:pt idx="24">
                  <c:v>1.9609243446586095</c:v>
                </c:pt>
                <c:pt idx="25">
                  <c:v>1.9956492263290389</c:v>
                </c:pt>
                <c:pt idx="26">
                  <c:v>2.0295910727963431</c:v>
                </c:pt>
                <c:pt idx="27">
                  <c:v>2.0627966760629679</c:v>
                </c:pt>
                <c:pt idx="28">
                  <c:v>2.0953084180993597</c:v>
                </c:pt>
                <c:pt idx="29">
                  <c:v>2.1271648278632092</c:v>
                </c:pt>
                <c:pt idx="30">
                  <c:v>2.1584010513211251</c:v>
                </c:pt>
                <c:pt idx="31">
                  <c:v>2.1890492504884014</c:v>
                </c:pt>
                <c:pt idx="32">
                  <c:v>2.2191389441356901</c:v>
                </c:pt>
                <c:pt idx="33">
                  <c:v>2.2486973002348676</c:v>
                </c:pt>
                <c:pt idx="34">
                  <c:v>2.2777493882264377</c:v>
                </c:pt>
                <c:pt idx="35">
                  <c:v>2.306318397640688</c:v>
                </c:pt>
                <c:pt idx="36">
                  <c:v>2.3344258283875488</c:v>
                </c:pt>
                <c:pt idx="37">
                  <c:v>2.3620916570670123</c:v>
                </c:pt>
                <c:pt idx="38">
                  <c:v>2.3893344828845997</c:v>
                </c:pt>
                <c:pt idx="39">
                  <c:v>2.4161716561407856</c:v>
                </c:pt>
                <c:pt idx="40">
                  <c:v>2.4426193917664949</c:v>
                </c:pt>
                <c:pt idx="41">
                  <c:v>2.4686928699733337</c:v>
                </c:pt>
                <c:pt idx="42">
                  <c:v>2.4944063257578502</c:v>
                </c:pt>
                <c:pt idx="43">
                  <c:v>2.5197731287287137</c:v>
                </c:pt>
                <c:pt idx="44">
                  <c:v>2.5448058545026391</c:v>
                </c:pt>
                <c:pt idx="45">
                  <c:v>2.569516348729957</c:v>
                </c:pt>
                <c:pt idx="46">
                  <c:v>2.593915784656752</c:v>
                </c:pt>
                <c:pt idx="47">
                  <c:v>2.6180147150016784</c:v>
                </c:pt>
                <c:pt idx="48">
                  <c:v>2.6418231188174279</c:v>
                </c:pt>
                <c:pt idx="49">
                  <c:v>2.6653504439155919</c:v>
                </c:pt>
                <c:pt idx="50">
                  <c:v>2.6886056453565184</c:v>
                </c:pt>
                <c:pt idx="51">
                  <c:v>2.7115972204401633</c:v>
                </c:pt>
                <c:pt idx="52">
                  <c:v>2.7343332405780911</c:v>
                </c:pt>
                <c:pt idx="53">
                  <c:v>2.7568213803789763</c:v>
                </c:pt>
                <c:pt idx="54">
                  <c:v>2.7790689442389689</c:v>
                </c:pt>
                <c:pt idx="55">
                  <c:v>2.8010828906930185</c:v>
                </c:pt>
                <c:pt idx="56">
                  <c:v>2.822869854752792</c:v>
                </c:pt>
                <c:pt idx="57">
                  <c:v>2.8444361684304966</c:v>
                </c:pt>
                <c:pt idx="58">
                  <c:v>2.8657878796250413</c:v>
                </c:pt>
                <c:pt idx="59">
                  <c:v>2.8869307695270625</c:v>
                </c:pt>
                <c:pt idx="60">
                  <c:v>2.9078703686820253</c:v>
                </c:pt>
                <c:pt idx="61">
                  <c:v>2.9286119718354029</c:v>
                </c:pt>
                <c:pt idx="62">
                  <c:v>2.9491606516706472</c:v>
                </c:pt>
                <c:pt idx="63">
                  <c:v>2.9695212715389983</c:v>
                </c:pt>
                <c:pt idx="64">
                  <c:v>2.9896984972698766</c:v>
                </c:pt>
                <c:pt idx="65">
                  <c:v>3.0096968081415358</c:v>
                </c:pt>
                <c:pt idx="66">
                  <c:v>3.0295205070836406</c:v>
                </c:pt>
                <c:pt idx="67">
                  <c:v>3.0491737301763195</c:v>
                </c:pt>
                <c:pt idx="68">
                  <c:v>3.0686604555039416</c:v>
                </c:pt>
                <c:pt idx="69">
                  <c:v>3.0879845114162658</c:v>
                </c:pt>
                <c:pt idx="70">
                  <c:v>3.107149584244612</c:v>
                </c:pt>
                <c:pt idx="71">
                  <c:v>3.1261592255162487</c:v>
                </c:pt>
                <c:pt idx="72">
                  <c:v>3.1450168587062097</c:v>
                </c:pt>
                <c:pt idx="73">
                  <c:v>3.1637257855621925</c:v>
                </c:pt>
                <c:pt idx="74">
                  <c:v>3.182289192034998</c:v>
                </c:pt>
                <c:pt idx="75">
                  <c:v>3.2007101538440654</c:v>
                </c:pt>
                <c:pt idx="76">
                  <c:v>3.2189916417051543</c:v>
                </c:pt>
                <c:pt idx="77">
                  <c:v>3.2371365262447807</c:v>
                </c:pt>
                <c:pt idx="78">
                  <c:v>3.2551475826240495</c:v>
                </c:pt>
                <c:pt idx="79">
                  <c:v>3.2730274948925158</c:v>
                </c:pt>
                <c:pt idx="80">
                  <c:v>3.2907788600910703</c:v>
                </c:pt>
                <c:pt idx="81">
                  <c:v>3.3084041921212544</c:v>
                </c:pt>
                <c:pt idx="82">
                  <c:v>3.3259059253970005</c:v>
                </c:pt>
                <c:pt idx="83">
                  <c:v>3.3432864182935624</c:v>
                </c:pt>
                <c:pt idx="84">
                  <c:v>3.3605479564071521</c:v>
                </c:pt>
                <c:pt idx="85">
                  <c:v>3.3776927556378431</c:v>
                </c:pt>
                <c:pt idx="86">
                  <c:v>3.3947229651072361</c:v>
                </c:pt>
                <c:pt idx="87">
                  <c:v>3.411640669921606</c:v>
                </c:pt>
                <c:pt idx="88">
                  <c:v>3.4284478937903402</c:v>
                </c:pt>
                <c:pt idx="89">
                  <c:v>3.4451466015088408</c:v>
                </c:pt>
                <c:pt idx="90">
                  <c:v>3.4617387013143279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AB-4810-88D6-BB32BEF5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128519"/>
        <c:axId val="1144130567"/>
      </c:scatterChart>
      <c:valAx>
        <c:axId val="114412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30567"/>
        <c:crosses val="autoZero"/>
        <c:crossBetween val="midCat"/>
      </c:valAx>
      <c:valAx>
        <c:axId val="114413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current / M initial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28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2</xdr:row>
      <xdr:rowOff>123825</xdr:rowOff>
    </xdr:from>
    <xdr:to>
      <xdr:col>16</xdr:col>
      <xdr:colOff>790575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F9871-5C6B-52BD-9372-D948C18E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209550</xdr:colOff>
      <xdr:row>17</xdr:row>
      <xdr:rowOff>161925</xdr:rowOff>
    </xdr:from>
    <xdr:to>
      <xdr:col>16</xdr:col>
      <xdr:colOff>781050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74849-8CEB-DFEF-7974-4F20761D3EE7}"/>
            </a:ext>
            <a:ext uri="{147F2762-F138-4A5C-976F-8EAC2B608ADB}">
              <a16:predDERef xmlns:a16="http://schemas.microsoft.com/office/drawing/2014/main" pred="{517F9871-5C6B-52BD-9372-D948C18E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247650</xdr:colOff>
      <xdr:row>33</xdr:row>
      <xdr:rowOff>142875</xdr:rowOff>
    </xdr:from>
    <xdr:to>
      <xdr:col>16</xdr:col>
      <xdr:colOff>819150</xdr:colOff>
      <xdr:row>48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7266E7-2610-6175-5855-F29CD278E1A1}"/>
            </a:ext>
            <a:ext uri="{147F2762-F138-4A5C-976F-8EAC2B608ADB}">
              <a16:predDERef xmlns:a16="http://schemas.microsoft.com/office/drawing/2014/main" pred="{A0F74849-8CEB-DFEF-7974-4F20761D3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T39" sqref="T39"/>
    </sheetView>
  </sheetViews>
  <sheetFormatPr defaultRowHeight="15"/>
  <cols>
    <col min="1" max="2" width="11" customWidth="1"/>
    <col min="3" max="3" width="14.42578125" customWidth="1"/>
    <col min="4" max="4" width="16.85546875" customWidth="1"/>
    <col min="5" max="5" width="13" customWidth="1"/>
    <col min="6" max="6" width="12.5703125" customWidth="1"/>
    <col min="7" max="7" width="13.5703125" customWidth="1"/>
    <col min="8" max="8" width="19" customWidth="1"/>
    <col min="9" max="9" width="14.5703125" customWidth="1"/>
    <col min="10" max="10" width="16.42578125" customWidth="1"/>
    <col min="11" max="11" width="18" customWidth="1"/>
    <col min="12" max="12" width="22" customWidth="1"/>
    <col min="13" max="13" width="13.85546875" customWidth="1"/>
    <col min="14" max="14" width="19.42578125" customWidth="1"/>
    <col min="16" max="16" width="17.5703125" customWidth="1"/>
    <col min="17" max="17" width="17.85546875" customWidth="1"/>
    <col min="18" max="18" width="21.570312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J1" t="s">
        <v>6</v>
      </c>
      <c r="L1" t="s">
        <v>7</v>
      </c>
      <c r="M1" t="s">
        <v>8</v>
      </c>
    </row>
    <row r="2" spans="1:13">
      <c r="A2">
        <v>60</v>
      </c>
      <c r="C2">
        <v>3</v>
      </c>
      <c r="D2">
        <v>0.1</v>
      </c>
      <c r="E2">
        <v>100</v>
      </c>
      <c r="F2">
        <v>0</v>
      </c>
      <c r="H2">
        <v>8</v>
      </c>
      <c r="J2" s="1">
        <v>1.0000000000000001E-5</v>
      </c>
      <c r="L2">
        <v>0.5</v>
      </c>
      <c r="M2">
        <v>0.43</v>
      </c>
    </row>
    <row r="3" spans="1:13">
      <c r="D3" t="s">
        <v>9</v>
      </c>
      <c r="E3">
        <f>E2*PI()*4/3*D2^3</f>
        <v>0.41887902047863923</v>
      </c>
      <c r="F3" t="s">
        <v>10</v>
      </c>
      <c r="G3">
        <f>(4*PI()*$D$2^2)*E2</f>
        <v>12.566370614359174</v>
      </c>
    </row>
    <row r="4" spans="1:1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3">
      <c r="A5" s="2">
        <v>0</v>
      </c>
      <c r="B5">
        <f>A5/60</f>
        <v>0</v>
      </c>
      <c r="C5">
        <f>C2</f>
        <v>3</v>
      </c>
      <c r="D5">
        <f>C5/1000000</f>
        <v>3.0000000000000001E-6</v>
      </c>
      <c r="E5">
        <f>D5*$E$3</f>
        <v>1.2566370614359177E-6</v>
      </c>
      <c r="F5">
        <f>F2</f>
        <v>0</v>
      </c>
      <c r="G5">
        <f>F5*G2</f>
        <v>0</v>
      </c>
      <c r="H5">
        <v>0</v>
      </c>
      <c r="I5">
        <f>(G5-D5)/$D$2</f>
        <v>-3.0000000000000001E-5</v>
      </c>
      <c r="J5">
        <f>-$J$2*I5</f>
        <v>3.0000000000000005E-10</v>
      </c>
      <c r="K5">
        <f>J5*$G$3*$A$2</f>
        <v>2.261946710584652E-7</v>
      </c>
      <c r="L5">
        <f>$L$2*B5^$M$2</f>
        <v>0</v>
      </c>
    </row>
    <row r="6" spans="1:13">
      <c r="A6">
        <f>A5+A2</f>
        <v>60</v>
      </c>
      <c r="B6">
        <f>A6/60</f>
        <v>1</v>
      </c>
      <c r="C6">
        <f>D6*1000000</f>
        <v>2.4599999999999995</v>
      </c>
      <c r="D6">
        <f>E6/$E$3</f>
        <v>2.4599999999999997E-6</v>
      </c>
      <c r="E6">
        <f>E5-K5</f>
        <v>1.0304423903774524E-6</v>
      </c>
      <c r="F6">
        <f>G6*1000000</f>
        <v>2.8274333882308149E-2</v>
      </c>
      <c r="G6">
        <f>H6/$H$2</f>
        <v>2.827433388230815E-8</v>
      </c>
      <c r="H6">
        <f>H5+K5</f>
        <v>2.261946710584652E-7</v>
      </c>
      <c r="I6">
        <f>(G6-D6)/$D$2</f>
        <v>-2.4317256661176915E-5</v>
      </c>
      <c r="J6">
        <f>-$J$2*I6</f>
        <v>2.4317256661176918E-10</v>
      </c>
      <c r="K6">
        <f>J6*$G$3*$A$2</f>
        <v>1.833477957173061E-7</v>
      </c>
      <c r="L6">
        <f>$L$2*B6^$M$2</f>
        <v>0.5</v>
      </c>
    </row>
    <row r="7" spans="1:13">
      <c r="A7">
        <f>A6+A$2</f>
        <v>120</v>
      </c>
      <c r="B7">
        <f t="shared" ref="B7:B70" si="0">A7/60</f>
        <v>2</v>
      </c>
      <c r="C7">
        <f>D7*1000000</f>
        <v>2.0222893800988153</v>
      </c>
      <c r="D7">
        <f>E7/$E$3</f>
        <v>2.0222893800988154E-6</v>
      </c>
      <c r="E7">
        <f>E6-K6</f>
        <v>8.4709459466014634E-7</v>
      </c>
      <c r="F7">
        <f>G7*1000000</f>
        <v>5.1192808346971409E-2</v>
      </c>
      <c r="G7">
        <f>H7/$H$2</f>
        <v>5.1192808346971409E-8</v>
      </c>
      <c r="H7">
        <f>H6+K6</f>
        <v>4.0954246677577127E-7</v>
      </c>
      <c r="I7">
        <f>(G7-D7)/$D$2</f>
        <v>-1.9710965717518437E-5</v>
      </c>
      <c r="J7">
        <f>-$J$2*I7</f>
        <v>1.971096571751844E-10</v>
      </c>
      <c r="K7">
        <f>J7*$G$3*$A$2</f>
        <v>1.486171802239589E-7</v>
      </c>
      <c r="L7">
        <f>$L$2*B7^$M$2</f>
        <v>0.67361678843284511</v>
      </c>
    </row>
    <row r="8" spans="1:13">
      <c r="A8">
        <f>A7+A$2</f>
        <v>180</v>
      </c>
      <c r="B8">
        <f t="shared" si="0"/>
        <v>3</v>
      </c>
      <c r="C8">
        <f>D8*1000000</f>
        <v>1.6674919971834836</v>
      </c>
      <c r="D8">
        <f>E8/$E$3</f>
        <v>1.6674919971834836E-6</v>
      </c>
      <c r="E8">
        <f t="shared" ref="E8:E71" si="1">E7-K7</f>
        <v>6.9847741443618743E-7</v>
      </c>
      <c r="F8">
        <f t="shared" ref="F8:F71" si="2">G8*1000000</f>
        <v>6.9769955874966275E-2</v>
      </c>
      <c r="G8">
        <f>H8/$H$2</f>
        <v>6.9769955874966272E-8</v>
      </c>
      <c r="H8">
        <f t="shared" ref="H8:H71" si="3">H7+K7</f>
        <v>5.5815964699973017E-7</v>
      </c>
      <c r="I8">
        <f>(G8-D8)/$D$2</f>
        <v>-1.5977220413085173E-5</v>
      </c>
      <c r="J8">
        <f>-$J$2*I8</f>
        <v>1.5977220413085174E-10</v>
      </c>
      <c r="K8">
        <f>J8*$G$3*$A$2</f>
        <v>1.2046540385887986E-7</v>
      </c>
      <c r="L8">
        <f>$L$2*B8^$M$2</f>
        <v>0.80192202908617227</v>
      </c>
    </row>
    <row r="9" spans="1:13">
      <c r="A9">
        <f>A8+A$2</f>
        <v>240</v>
      </c>
      <c r="B9">
        <f t="shared" si="0"/>
        <v>4</v>
      </c>
      <c r="C9">
        <f t="shared" ref="C9:C72" si="4">D9*1000000</f>
        <v>1.3799020297479503</v>
      </c>
      <c r="D9">
        <f>E9/$E$3</f>
        <v>1.3799020297479504E-6</v>
      </c>
      <c r="E9">
        <f t="shared" si="1"/>
        <v>5.7801201057730755E-7</v>
      </c>
      <c r="F9">
        <f t="shared" si="2"/>
        <v>8.4828131357326253E-2</v>
      </c>
      <c r="G9">
        <f>H9/$H$2</f>
        <v>8.4828131357326258E-8</v>
      </c>
      <c r="H9">
        <f t="shared" si="3"/>
        <v>6.7862505085861006E-7</v>
      </c>
      <c r="I9">
        <f>(G9-D9)/$D$2</f>
        <v>-1.2950738983906241E-5</v>
      </c>
      <c r="J9">
        <f>-$J$2*I9</f>
        <v>1.2950738983906243E-10</v>
      </c>
      <c r="K9">
        <f>J9*$G$3*$A$2</f>
        <v>9.7646271480957116E-8</v>
      </c>
      <c r="L9">
        <f>$L$2*B9^$M$2</f>
        <v>0.90751915531716087</v>
      </c>
    </row>
    <row r="10" spans="1:13">
      <c r="A10">
        <f>A9+A$2</f>
        <v>300</v>
      </c>
      <c r="B10">
        <f t="shared" si="0"/>
        <v>5</v>
      </c>
      <c r="C10">
        <f t="shared" si="4"/>
        <v>1.1467887280376381</v>
      </c>
      <c r="D10">
        <f>E10/$E$3</f>
        <v>1.1467887280376381E-6</v>
      </c>
      <c r="E10">
        <f t="shared" si="1"/>
        <v>4.8036573909635043E-7</v>
      </c>
      <c r="F10">
        <f t="shared" si="2"/>
        <v>9.7033915292445899E-2</v>
      </c>
      <c r="G10">
        <f>H10/$H$2</f>
        <v>9.7033915292445897E-8</v>
      </c>
      <c r="H10">
        <f t="shared" si="3"/>
        <v>7.7627132233956718E-7</v>
      </c>
      <c r="I10">
        <f>(G10-D10)/$D$2</f>
        <v>-1.0497548127451921E-5</v>
      </c>
      <c r="J10">
        <f>-$J$2*I10</f>
        <v>1.0497548127451923E-10</v>
      </c>
      <c r="K10">
        <f>J10*$G$3*$A$2</f>
        <v>7.9149648186979808E-8</v>
      </c>
      <c r="L10">
        <f>$L$2*B10^$M$2</f>
        <v>0.99891171439948556</v>
      </c>
    </row>
    <row r="11" spans="1:13">
      <c r="A11">
        <f>A10+A$2</f>
        <v>360</v>
      </c>
      <c r="B11">
        <f t="shared" si="0"/>
        <v>6</v>
      </c>
      <c r="C11">
        <f t="shared" si="4"/>
        <v>0.95783286174350357</v>
      </c>
      <c r="D11">
        <f>E11/$E$3</f>
        <v>9.5783286174350355E-7</v>
      </c>
      <c r="E11">
        <f t="shared" si="1"/>
        <v>4.0121609090937065E-7</v>
      </c>
      <c r="F11">
        <f t="shared" si="2"/>
        <v>0.10692762131581837</v>
      </c>
      <c r="G11">
        <f>H11/$H$2</f>
        <v>1.0692762131581837E-7</v>
      </c>
      <c r="H11">
        <f t="shared" si="3"/>
        <v>8.5542097052654696E-7</v>
      </c>
      <c r="I11">
        <f>(G11-D11)/$D$2</f>
        <v>-8.509052404276852E-6</v>
      </c>
      <c r="J11">
        <f>-$J$2*I11</f>
        <v>8.5090524042768526E-11</v>
      </c>
      <c r="K11">
        <f>J11*$G$3*$A$2</f>
        <v>6.415674365348816E-8</v>
      </c>
      <c r="L11">
        <f>$L$2*B11^$M$2</f>
        <v>1.0803762836131559</v>
      </c>
    </row>
    <row r="12" spans="1:13">
      <c r="A12">
        <f>A11+A$2</f>
        <v>420</v>
      </c>
      <c r="B12">
        <f t="shared" si="0"/>
        <v>7</v>
      </c>
      <c r="C12">
        <f t="shared" si="4"/>
        <v>0.80466991846652025</v>
      </c>
      <c r="D12">
        <f>E12/$E$3</f>
        <v>8.0466991846652027E-7</v>
      </c>
      <c r="E12">
        <f t="shared" si="1"/>
        <v>3.370593472558825E-7</v>
      </c>
      <c r="F12">
        <f t="shared" si="2"/>
        <v>0.1149472142725044</v>
      </c>
      <c r="G12">
        <f>H12/$H$2</f>
        <v>1.1494721427250439E-7</v>
      </c>
      <c r="H12">
        <f>H11+K11</f>
        <v>9.1957771418003516E-7</v>
      </c>
      <c r="I12">
        <f>(G12-D12)/$D$2</f>
        <v>-6.8972270419401582E-6</v>
      </c>
      <c r="J12">
        <f>-$J$2*I12</f>
        <v>6.8972270419401587E-11</v>
      </c>
      <c r="K12">
        <f>J12*$G$3*$A$2</f>
        <v>5.2003866732240154E-8</v>
      </c>
      <c r="L12">
        <f>$L$2*B12^$M$2</f>
        <v>1.1544155326215062</v>
      </c>
    </row>
    <row r="13" spans="1:13">
      <c r="A13">
        <f>A12+A$2</f>
        <v>480</v>
      </c>
      <c r="B13">
        <f t="shared" si="0"/>
        <v>8</v>
      </c>
      <c r="C13">
        <f t="shared" si="4"/>
        <v>0.68051983171159736</v>
      </c>
      <c r="D13">
        <f>E13/$E$3</f>
        <v>6.8051983171159739E-7</v>
      </c>
      <c r="E13">
        <f t="shared" si="1"/>
        <v>2.8505548052364233E-7</v>
      </c>
      <c r="F13">
        <f t="shared" si="2"/>
        <v>0.12144769761403441</v>
      </c>
      <c r="G13">
        <f>H13/$H$2</f>
        <v>1.2144769761403441E-7</v>
      </c>
      <c r="H13">
        <f t="shared" si="3"/>
        <v>9.7158158091227527E-7</v>
      </c>
      <c r="I13">
        <f>(G13-D13)/$D$2</f>
        <v>-5.5907213409756291E-6</v>
      </c>
      <c r="J13">
        <f>-$J$2*I13</f>
        <v>5.5907213409756296E-11</v>
      </c>
      <c r="K13">
        <f>J13*$G$3*$A$2</f>
        <v>4.2153045823384123E-8</v>
      </c>
      <c r="L13">
        <f>$L$2*B13^$M$2</f>
        <v>1.2226402776920684</v>
      </c>
    </row>
    <row r="14" spans="1:13">
      <c r="A14">
        <f>A13+A$2</f>
        <v>540</v>
      </c>
      <c r="B14">
        <f t="shared" si="0"/>
        <v>9</v>
      </c>
      <c r="C14">
        <f t="shared" si="4"/>
        <v>0.57988684757403608</v>
      </c>
      <c r="D14">
        <f>E14/$E$3</f>
        <v>5.7988684757403612E-7</v>
      </c>
      <c r="E14">
        <f t="shared" si="1"/>
        <v>2.429024347002582E-7</v>
      </c>
      <c r="F14">
        <f t="shared" si="2"/>
        <v>0.12671682834195741</v>
      </c>
      <c r="G14">
        <f>H14/$H$2</f>
        <v>1.2671682834195741E-7</v>
      </c>
      <c r="H14">
        <f t="shared" si="3"/>
        <v>1.0137346267356593E-6</v>
      </c>
      <c r="I14">
        <f>(G14-D14)/$D$2</f>
        <v>-4.5317001923207866E-6</v>
      </c>
      <c r="J14">
        <f>-$J$2*I14</f>
        <v>4.5317001923207873E-11</v>
      </c>
      <c r="K14">
        <f>J14*$G$3*$A$2</f>
        <v>3.4168214477919455E-8</v>
      </c>
      <c r="L14">
        <f>$L$2*B14^$M$2</f>
        <v>1.2861578814673675</v>
      </c>
    </row>
    <row r="15" spans="1:13">
      <c r="A15">
        <f>A14+A$2</f>
        <v>600</v>
      </c>
      <c r="B15">
        <f t="shared" si="0"/>
        <v>10</v>
      </c>
      <c r="C15">
        <f t="shared" si="4"/>
        <v>0.49831624411226194</v>
      </c>
      <c r="D15">
        <f>E15/$E$3</f>
        <v>4.9831624411226195E-7</v>
      </c>
      <c r="E15">
        <f t="shared" si="1"/>
        <v>2.0873422022233874E-7</v>
      </c>
      <c r="F15">
        <f t="shared" si="2"/>
        <v>0.13098785515169734</v>
      </c>
      <c r="G15">
        <f>H15/$H$2</f>
        <v>1.3098785515169734E-7</v>
      </c>
      <c r="H15">
        <f t="shared" si="3"/>
        <v>1.0479028412135787E-6</v>
      </c>
      <c r="I15">
        <f>(G15-D15)/$D$2</f>
        <v>-3.6732838896056459E-6</v>
      </c>
      <c r="J15">
        <f>-$J$2*I15</f>
        <v>3.6732838896056461E-11</v>
      </c>
      <c r="K15">
        <f>J15*$G$3*$A$2</f>
        <v>2.7695908037123617E-8</v>
      </c>
      <c r="L15">
        <f>$L$2*B15^$M$2</f>
        <v>1.345767401963458</v>
      </c>
    </row>
    <row r="16" spans="1:13">
      <c r="A16">
        <f>A15+A$2</f>
        <v>660</v>
      </c>
      <c r="B16">
        <f t="shared" si="0"/>
        <v>11</v>
      </c>
      <c r="C16">
        <f t="shared" si="4"/>
        <v>0.43219713409936023</v>
      </c>
      <c r="D16">
        <f>E16/$E$3</f>
        <v>4.3219713409936025E-7</v>
      </c>
      <c r="E16">
        <f t="shared" si="1"/>
        <v>1.8103831218521511E-7</v>
      </c>
      <c r="F16">
        <f t="shared" si="2"/>
        <v>0.1344498436563378</v>
      </c>
      <c r="G16">
        <f>H16/$H$2</f>
        <v>1.344498436563378E-7</v>
      </c>
      <c r="H16">
        <f t="shared" si="3"/>
        <v>1.0755987492507024E-6</v>
      </c>
      <c r="I16">
        <f>(G16-D16)/$D$2</f>
        <v>-2.977472904430224E-6</v>
      </c>
      <c r="J16">
        <f>-$J$2*I16</f>
        <v>2.9774729044302243E-11</v>
      </c>
      <c r="K16">
        <f>J16*$G$3*$A$2</f>
        <v>2.2449616806769579E-8</v>
      </c>
      <c r="L16">
        <f>$L$2*B16^$M$2</f>
        <v>1.402067294994604</v>
      </c>
    </row>
    <row r="17" spans="1:12">
      <c r="A17">
        <f>A16+A$2</f>
        <v>720</v>
      </c>
      <c r="B17">
        <f t="shared" si="0"/>
        <v>12</v>
      </c>
      <c r="C17">
        <f t="shared" si="4"/>
        <v>0.37860262181961624</v>
      </c>
      <c r="D17">
        <f>E17/$E$3</f>
        <v>3.7860262181961623E-7</v>
      </c>
      <c r="E17">
        <f t="shared" si="1"/>
        <v>1.5858869537844553E-7</v>
      </c>
      <c r="F17">
        <f t="shared" si="2"/>
        <v>0.137256045757184</v>
      </c>
      <c r="G17">
        <f>H17/$H$2</f>
        <v>1.3725604575718401E-7</v>
      </c>
      <c r="H17">
        <f t="shared" si="3"/>
        <v>1.098048366057472E-6</v>
      </c>
      <c r="I17">
        <f>(G17-D17)/$D$2</f>
        <v>-2.4134657606243223E-6</v>
      </c>
      <c r="J17">
        <f>-$J$2*I17</f>
        <v>2.4134657606243225E-11</v>
      </c>
      <c r="K17">
        <f>J17*$G$3*$A$2</f>
        <v>1.8197103127842902E-8</v>
      </c>
      <c r="L17">
        <f>$L$2*B17^$M$2</f>
        <v>1.4555192049330137</v>
      </c>
    </row>
    <row r="18" spans="1:12">
      <c r="A18">
        <f>A17+A$2</f>
        <v>780</v>
      </c>
      <c r="B18">
        <f t="shared" si="0"/>
        <v>13</v>
      </c>
      <c r="C18">
        <f t="shared" si="4"/>
        <v>0.33516023812837836</v>
      </c>
      <c r="D18">
        <f>E18/$E$3</f>
        <v>3.3516023812837839E-7</v>
      </c>
      <c r="E18">
        <f t="shared" si="1"/>
        <v>1.4039159225060262E-7</v>
      </c>
      <c r="F18">
        <f t="shared" si="2"/>
        <v>0.13953068364816437</v>
      </c>
      <c r="G18">
        <f>H18/$H$2</f>
        <v>1.3953068364816438E-7</v>
      </c>
      <c r="H18">
        <f t="shared" si="3"/>
        <v>1.116245469185315E-6</v>
      </c>
      <c r="I18">
        <f>(G18-D18)/$D$2</f>
        <v>-1.9562955448021399E-6</v>
      </c>
      <c r="J18">
        <f>-$J$2*I18</f>
        <v>1.95629554480214E-11</v>
      </c>
      <c r="K18">
        <f>J18*$G$3*$A$2</f>
        <v>1.4750120908322031E-8</v>
      </c>
      <c r="L18">
        <f>$L$2*B18^$M$2</f>
        <v>1.5064878931522347</v>
      </c>
    </row>
    <row r="19" spans="1:12">
      <c r="A19">
        <f>A18+A$2</f>
        <v>840</v>
      </c>
      <c r="B19">
        <f t="shared" si="0"/>
        <v>14</v>
      </c>
      <c r="C19">
        <f t="shared" si="4"/>
        <v>0.29994691832193987</v>
      </c>
      <c r="D19">
        <f>E19/$E$3</f>
        <v>2.9994691832193988E-7</v>
      </c>
      <c r="E19">
        <f t="shared" si="1"/>
        <v>1.2564147134228058E-7</v>
      </c>
      <c r="F19">
        <f t="shared" si="2"/>
        <v>0.14137444876170463</v>
      </c>
      <c r="G19">
        <f>H19/$H$2</f>
        <v>1.4137444876170464E-7</v>
      </c>
      <c r="H19">
        <f t="shared" si="3"/>
        <v>1.1309955900936371E-6</v>
      </c>
      <c r="I19">
        <f>(G19-D19)/$D$2</f>
        <v>-1.5857246956023525E-6</v>
      </c>
      <c r="J19">
        <f>-$J$2*I19</f>
        <v>1.5857246956023526E-11</v>
      </c>
      <c r="K19">
        <f>J19*$G$3*$A$2</f>
        <v>1.1956082530368629E-8</v>
      </c>
      <c r="L19">
        <f>$L$2*B19^$M$2</f>
        <v>1.5552673672029826</v>
      </c>
    </row>
    <row r="20" spans="1:12">
      <c r="A20">
        <f>A19+A$2</f>
        <v>900</v>
      </c>
      <c r="B20">
        <f t="shared" si="0"/>
        <v>15</v>
      </c>
      <c r="C20">
        <f t="shared" si="4"/>
        <v>0.27140387380109754</v>
      </c>
      <c r="D20">
        <f>E20/$E$3</f>
        <v>2.7140387380109753E-7</v>
      </c>
      <c r="E20">
        <f t="shared" si="1"/>
        <v>1.1368538881191195E-7</v>
      </c>
      <c r="F20">
        <f t="shared" si="2"/>
        <v>0.14286895907800071</v>
      </c>
      <c r="G20">
        <f>H20/$H$2</f>
        <v>1.4286895907800071E-7</v>
      </c>
      <c r="H20">
        <f t="shared" si="3"/>
        <v>1.1429516726240057E-6</v>
      </c>
      <c r="I20">
        <f>(G20-D20)/$D$2</f>
        <v>-1.2853491472309682E-6</v>
      </c>
      <c r="J20">
        <f>-$J$2*I20</f>
        <v>1.2853491472309684E-11</v>
      </c>
      <c r="K20">
        <f>J20*$G$3*$A$2</f>
        <v>9.6913042517729185E-9</v>
      </c>
      <c r="L20">
        <f>$L$2*B20^$M$2</f>
        <v>1.6020986177783649</v>
      </c>
    </row>
    <row r="21" spans="1:12">
      <c r="A21">
        <f>A20+A$2</f>
        <v>960</v>
      </c>
      <c r="B21">
        <f t="shared" si="0"/>
        <v>16</v>
      </c>
      <c r="C21">
        <f t="shared" si="4"/>
        <v>0.24826758915094013</v>
      </c>
      <c r="D21">
        <f>E21/$E$3</f>
        <v>2.4826758915094013E-7</v>
      </c>
      <c r="E21">
        <f t="shared" si="1"/>
        <v>1.0399408456013903E-7</v>
      </c>
      <c r="F21">
        <f t="shared" si="2"/>
        <v>0.14408037210947233</v>
      </c>
      <c r="G21">
        <f>H21/$H$2</f>
        <v>1.4408037210947234E-7</v>
      </c>
      <c r="H21">
        <f t="shared" si="3"/>
        <v>1.1526429768757787E-6</v>
      </c>
      <c r="I21">
        <f>(G21-D21)/$D$2</f>
        <v>-1.0418721704146779E-6</v>
      </c>
      <c r="J21">
        <f>-$J$2*I21</f>
        <v>1.0418721704146779E-11</v>
      </c>
      <c r="K21">
        <f>J21*$G$3*$A$2</f>
        <v>7.8555310957305739E-9</v>
      </c>
      <c r="L21">
        <f>$L$2*B21^$M$2</f>
        <v>1.6471820345351462</v>
      </c>
    </row>
    <row r="22" spans="1:12">
      <c r="A22">
        <f>A21+A$2</f>
        <v>1020</v>
      </c>
      <c r="B22">
        <f t="shared" si="0"/>
        <v>17</v>
      </c>
      <c r="C22">
        <f t="shared" si="4"/>
        <v>0.22951389008347592</v>
      </c>
      <c r="D22">
        <f>E22/$E$3</f>
        <v>2.2951389008347592E-7</v>
      </c>
      <c r="E22">
        <f t="shared" si="1"/>
        <v>9.6138553464408463E-8</v>
      </c>
      <c r="F22">
        <f t="shared" si="2"/>
        <v>0.14506231349643867</v>
      </c>
      <c r="G22">
        <f>H22/$H$2</f>
        <v>1.4506231349643865E-7</v>
      </c>
      <c r="H22">
        <f t="shared" si="3"/>
        <v>1.1604985079715092E-6</v>
      </c>
      <c r="I22">
        <f>(G22-D22)/$D$2</f>
        <v>-8.4451576587037255E-7</v>
      </c>
      <c r="J22">
        <f>-$J$2*I22</f>
        <v>8.4451576587037255E-12</v>
      </c>
      <c r="K22">
        <f>J22*$G$3*$A$2</f>
        <v>6.3674988621578893E-9</v>
      </c>
      <c r="L22">
        <f>$L$2*B22^$M$2</f>
        <v>1.6906863274040216</v>
      </c>
    </row>
    <row r="23" spans="1:12">
      <c r="A23">
        <f>A22+A$2</f>
        <v>1080</v>
      </c>
      <c r="B23">
        <f t="shared" si="0"/>
        <v>18</v>
      </c>
      <c r="C23">
        <f t="shared" si="4"/>
        <v>0.21431260629780924</v>
      </c>
      <c r="D23">
        <f>E23/$E$3</f>
        <v>2.1431260629780924E-7</v>
      </c>
      <c r="E23">
        <f t="shared" si="1"/>
        <v>8.9771054602250578E-8</v>
      </c>
      <c r="F23">
        <f t="shared" si="2"/>
        <v>0.14585825085420839</v>
      </c>
      <c r="G23">
        <f>H23/$H$2</f>
        <v>1.4585825085420839E-7</v>
      </c>
      <c r="H23">
        <f t="shared" si="3"/>
        <v>1.1668660068336671E-6</v>
      </c>
      <c r="I23">
        <f>(G23-D23)/$D$2</f>
        <v>-6.845435544360084E-7</v>
      </c>
      <c r="J23">
        <f>-$J$2*I23</f>
        <v>6.8454355443600849E-12</v>
      </c>
      <c r="K23">
        <f>J23*$G$3*$A$2</f>
        <v>5.1613368040281823E-9</v>
      </c>
      <c r="L23">
        <f>$L$2*B23^$M$2</f>
        <v>1.7327550830632799</v>
      </c>
    </row>
    <row r="24" spans="1:12">
      <c r="A24">
        <f>A23+A$2</f>
        <v>1140</v>
      </c>
      <c r="B24">
        <f t="shared" si="0"/>
        <v>19</v>
      </c>
      <c r="C24">
        <f t="shared" si="4"/>
        <v>0.20199082231796106</v>
      </c>
      <c r="D24">
        <f>E24/$E$3</f>
        <v>2.0199082231796107E-7</v>
      </c>
      <c r="E24">
        <f t="shared" si="1"/>
        <v>8.460971779822239E-8</v>
      </c>
      <c r="F24">
        <f t="shared" si="2"/>
        <v>0.14650341795471192</v>
      </c>
      <c r="G24">
        <f>H24/$H$2</f>
        <v>1.4650341795471191E-7</v>
      </c>
      <c r="H24">
        <f t="shared" si="3"/>
        <v>1.1720273436376953E-6</v>
      </c>
      <c r="I24">
        <f>(G24-D24)/$D$2</f>
        <v>-5.5487404363249162E-7</v>
      </c>
      <c r="J24">
        <f>-$J$2*I24</f>
        <v>5.5487404363249163E-12</v>
      </c>
      <c r="K24">
        <f>J24*$G$3*$A$2</f>
        <v>4.1836517259443961E-9</v>
      </c>
      <c r="L24">
        <f>$L$2*B24^$M$2</f>
        <v>1.7735116789794794</v>
      </c>
    </row>
    <row r="25" spans="1:12">
      <c r="A25">
        <f>A24+A$2</f>
        <v>1200</v>
      </c>
      <c r="B25">
        <f t="shared" si="0"/>
        <v>20</v>
      </c>
      <c r="C25">
        <f t="shared" si="4"/>
        <v>0.19200308953257622</v>
      </c>
      <c r="D25">
        <f>E25/$E$3</f>
        <v>1.9200308953257621E-7</v>
      </c>
      <c r="E25">
        <f t="shared" si="1"/>
        <v>8.0426066072277993E-8</v>
      </c>
      <c r="F25">
        <f t="shared" si="2"/>
        <v>0.14702637442045496</v>
      </c>
      <c r="G25">
        <f>H25/$H$2</f>
        <v>1.4702637442045497E-7</v>
      </c>
      <c r="H25">
        <f t="shared" si="3"/>
        <v>1.1762109953636397E-6</v>
      </c>
      <c r="I25">
        <f>(G25-D25)/$D$2</f>
        <v>-4.497671511212124E-7</v>
      </c>
      <c r="J25">
        <f>-$J$2*I25</f>
        <v>4.4976715112121244E-12</v>
      </c>
      <c r="K25">
        <f>J25*$G$3*$A$2</f>
        <v>3.3911644266921876E-9</v>
      </c>
      <c r="L25">
        <f>$L$2*B25^$M$2</f>
        <v>1.8130630305764761</v>
      </c>
    </row>
    <row r="26" spans="1:12">
      <c r="A26">
        <f>A25+A$2</f>
        <v>1260</v>
      </c>
      <c r="B26">
        <f t="shared" si="0"/>
        <v>21</v>
      </c>
      <c r="C26">
        <f t="shared" si="4"/>
        <v>0.18390728081239438</v>
      </c>
      <c r="D26">
        <f>E26/$E$3</f>
        <v>1.8390728081239437E-7</v>
      </c>
      <c r="E26">
        <f t="shared" si="1"/>
        <v>7.7034901645585801E-8</v>
      </c>
      <c r="F26">
        <f t="shared" si="2"/>
        <v>0.14745026997379149</v>
      </c>
      <c r="G26">
        <f>H26/$H$2</f>
        <v>1.4745026997379149E-7</v>
      </c>
      <c r="H26">
        <f t="shared" si="3"/>
        <v>1.1796021597903319E-6</v>
      </c>
      <c r="I26">
        <f>(G26-D26)/$D$2</f>
        <v>-3.6457010838602882E-7</v>
      </c>
      <c r="J26">
        <f>-$J$2*I26</f>
        <v>3.6457010838602885E-12</v>
      </c>
      <c r="K26">
        <f>J26*$G$3*$A$2</f>
        <v>2.7487938581375592E-9</v>
      </c>
      <c r="L26">
        <f>$L$2*B26^$M$2</f>
        <v>1.8515024926568653</v>
      </c>
    </row>
    <row r="27" spans="1:12">
      <c r="A27">
        <f>A26+A$2</f>
        <v>1320</v>
      </c>
      <c r="B27">
        <f t="shared" si="0"/>
        <v>22</v>
      </c>
      <c r="C27">
        <f t="shared" si="4"/>
        <v>0.17734501886144585</v>
      </c>
      <c r="D27">
        <f>E27/$E$3</f>
        <v>1.7734501886144586E-7</v>
      </c>
      <c r="E27">
        <f t="shared" si="1"/>
        <v>7.4286107787448241E-8</v>
      </c>
      <c r="F27">
        <f t="shared" si="2"/>
        <v>0.14779386920605869</v>
      </c>
      <c r="G27">
        <f>H27/$H$2</f>
        <v>1.4779386920605869E-7</v>
      </c>
      <c r="H27">
        <f t="shared" si="3"/>
        <v>1.1823509536484695E-6</v>
      </c>
      <c r="I27">
        <f>(G27-D27)/$D$2</f>
        <v>-2.9551149655387172E-7</v>
      </c>
      <c r="J27">
        <f>-$J$2*I27</f>
        <v>2.9551149655387174E-12</v>
      </c>
      <c r="K27">
        <f>J27*$G$3*$A$2</f>
        <v>2.228104191899926E-9</v>
      </c>
      <c r="L27">
        <f>$L$2*B27^$M$2</f>
        <v>1.8889121368419832</v>
      </c>
    </row>
    <row r="28" spans="1:12">
      <c r="A28">
        <f>A27+A$2</f>
        <v>1380</v>
      </c>
      <c r="B28">
        <f t="shared" si="0"/>
        <v>23</v>
      </c>
      <c r="C28">
        <f t="shared" si="4"/>
        <v>0.17202581192347619</v>
      </c>
      <c r="D28">
        <f>E28/$E$3</f>
        <v>1.7202581192347617E-7</v>
      </c>
      <c r="E28">
        <f t="shared" si="1"/>
        <v>7.2058003595548316E-8</v>
      </c>
      <c r="F28">
        <f t="shared" si="2"/>
        <v>0.14807238223004621</v>
      </c>
      <c r="G28">
        <f>H28/$H$2</f>
        <v>1.4807238223004619E-7</v>
      </c>
      <c r="H28">
        <f t="shared" si="3"/>
        <v>1.1845790578403696E-6</v>
      </c>
      <c r="I28">
        <f>(G28-D28)/$D$2</f>
        <v>-2.3953429693429978E-7</v>
      </c>
      <c r="J28">
        <f>-$J$2*I28</f>
        <v>2.3953429693429981E-12</v>
      </c>
      <c r="K28">
        <f>J28*$G$3*$A$2</f>
        <v>1.8060460500758218E-9</v>
      </c>
      <c r="L28">
        <f>$L$2*B28^$M$2</f>
        <v>1.9253645612748462</v>
      </c>
    </row>
    <row r="29" spans="1:12">
      <c r="A29">
        <f>A28+A$2</f>
        <v>1440</v>
      </c>
      <c r="B29">
        <f t="shared" si="0"/>
        <v>24</v>
      </c>
      <c r="C29">
        <f t="shared" si="4"/>
        <v>0.16771419457865877</v>
      </c>
      <c r="D29">
        <f>E29/$E$3</f>
        <v>1.6771419457865877E-7</v>
      </c>
      <c r="E29">
        <f t="shared" si="1"/>
        <v>7.0251957545472491E-8</v>
      </c>
      <c r="F29">
        <f t="shared" si="2"/>
        <v>0.14829813798630567</v>
      </c>
      <c r="G29">
        <f>H29/$H$2</f>
        <v>1.4829813798630567E-7</v>
      </c>
      <c r="H29">
        <f t="shared" si="3"/>
        <v>1.1863851038904453E-6</v>
      </c>
      <c r="I29">
        <f>(G29-D29)/$D$2</f>
        <v>-1.9416056592353101E-7</v>
      </c>
      <c r="J29">
        <f>-$J$2*I29</f>
        <v>1.9416056592353101E-12</v>
      </c>
      <c r="K29">
        <f>J29*$G$3*$A$2</f>
        <v>1.4639361780532844E-9</v>
      </c>
      <c r="L29">
        <f>$L$2*B29^$M$2</f>
        <v>1.9609243446586095</v>
      </c>
    </row>
    <row r="30" spans="1:12">
      <c r="A30">
        <f>A29+A$2</f>
        <v>1500</v>
      </c>
      <c r="B30">
        <f t="shared" si="0"/>
        <v>25</v>
      </c>
      <c r="C30">
        <f t="shared" si="4"/>
        <v>0.16421930439203522</v>
      </c>
      <c r="D30">
        <f>E30/$E$3</f>
        <v>1.6421930439203521E-7</v>
      </c>
      <c r="E30">
        <f t="shared" si="1"/>
        <v>6.8788021367419206E-8</v>
      </c>
      <c r="F30">
        <f t="shared" si="2"/>
        <v>0.14848113000856233</v>
      </c>
      <c r="G30">
        <f>H30/$H$2</f>
        <v>1.4848113000856232E-7</v>
      </c>
      <c r="H30">
        <f t="shared" si="3"/>
        <v>1.1878490400684986E-6</v>
      </c>
      <c r="I30">
        <f>(G30-D30)/$D$2</f>
        <v>-1.5738174383472886E-7</v>
      </c>
      <c r="J30">
        <f>-$J$2*I30</f>
        <v>1.5738174383472888E-12</v>
      </c>
      <c r="K30">
        <f>J30*$G$3*$A$2</f>
        <v>1.186630392576804E-9</v>
      </c>
      <c r="L30">
        <f>$L$2*B30^$M$2</f>
        <v>1.9956492263290389</v>
      </c>
    </row>
    <row r="31" spans="1:12">
      <c r="A31">
        <f>A30+A$2</f>
        <v>1560</v>
      </c>
      <c r="B31">
        <f t="shared" si="0"/>
        <v>26</v>
      </c>
      <c r="C31">
        <f t="shared" si="4"/>
        <v>0.16138643300301012</v>
      </c>
      <c r="D31">
        <f>E31/$E$3</f>
        <v>1.6138643300301011E-7</v>
      </c>
      <c r="E31">
        <f t="shared" si="1"/>
        <v>6.7601390974842407E-8</v>
      </c>
      <c r="F31">
        <f t="shared" si="2"/>
        <v>0.14862945880763442</v>
      </c>
      <c r="G31">
        <f>H31/$H$2</f>
        <v>1.4862945880763442E-7</v>
      </c>
      <c r="H31">
        <f t="shared" si="3"/>
        <v>1.1890356704610754E-6</v>
      </c>
      <c r="I31">
        <f>(G31-D31)/$D$2</f>
        <v>-1.2756974195375691E-7</v>
      </c>
      <c r="J31">
        <f>-$J$2*I31</f>
        <v>1.2756974195375693E-12</v>
      </c>
      <c r="K31">
        <f>J31*$G$3*$A$2</f>
        <v>9.6185319394144436E-10</v>
      </c>
      <c r="L31">
        <f>$L$2*B31^$M$2</f>
        <v>2.0295910727963431</v>
      </c>
    </row>
    <row r="32" spans="1:12">
      <c r="A32">
        <f>A31+A$2</f>
        <v>1620</v>
      </c>
      <c r="B32">
        <f t="shared" si="0"/>
        <v>27</v>
      </c>
      <c r="C32">
        <f t="shared" si="4"/>
        <v>0.1590901776478425</v>
      </c>
      <c r="D32">
        <f>E32/$E$3</f>
        <v>1.5909017764784249E-7</v>
      </c>
      <c r="E32">
        <f t="shared" si="1"/>
        <v>6.6639537780900964E-8</v>
      </c>
      <c r="F32">
        <f t="shared" si="2"/>
        <v>0.14874969045687711</v>
      </c>
      <c r="G32">
        <f>H32/$H$2</f>
        <v>1.487496904568771E-7</v>
      </c>
      <c r="H32">
        <f t="shared" si="3"/>
        <v>1.1899975236550168E-6</v>
      </c>
      <c r="I32">
        <f>(G32-D32)/$D$2</f>
        <v>-1.0340487190965396E-7</v>
      </c>
      <c r="J32">
        <f>-$J$2*I32</f>
        <v>1.0340487190965397E-12</v>
      </c>
      <c r="K32">
        <f>J32*$G$3*$A$2</f>
        <v>7.7965436624823012E-10</v>
      </c>
      <c r="L32">
        <f>$L$2*B32^$M$2</f>
        <v>2.0627966760629679</v>
      </c>
    </row>
    <row r="33" spans="1:12">
      <c r="A33">
        <f>A32+A$2</f>
        <v>1680</v>
      </c>
      <c r="B33">
        <f t="shared" si="0"/>
        <v>28</v>
      </c>
      <c r="C33">
        <f t="shared" si="4"/>
        <v>0.1572288899534687</v>
      </c>
      <c r="D33">
        <f>E33/$E$3</f>
        <v>1.572288899534687E-7</v>
      </c>
      <c r="E33">
        <f t="shared" si="1"/>
        <v>6.5859883414652732E-8</v>
      </c>
      <c r="F33">
        <f t="shared" si="2"/>
        <v>0.14884714725265813</v>
      </c>
      <c r="G33">
        <f>H33/$H$2</f>
        <v>1.4884714725265814E-7</v>
      </c>
      <c r="H33">
        <f t="shared" si="3"/>
        <v>1.1907771780212651E-6</v>
      </c>
      <c r="I33">
        <f>(G33-D33)/$D$2</f>
        <v>-8.3817427008105684E-8</v>
      </c>
      <c r="J33">
        <f>-$J$2*I33</f>
        <v>8.3817427008105689E-13</v>
      </c>
      <c r="K33">
        <f>J33*$G$3*$A$2</f>
        <v>6.3196851103551269E-10</v>
      </c>
      <c r="L33">
        <f>$L$2*B33^$M$2</f>
        <v>2.0953084180993597</v>
      </c>
    </row>
    <row r="34" spans="1:12">
      <c r="A34">
        <f>A33+A$2</f>
        <v>1740</v>
      </c>
      <c r="B34">
        <f t="shared" si="0"/>
        <v>29</v>
      </c>
      <c r="C34">
        <f t="shared" si="4"/>
        <v>0.15572017626732279</v>
      </c>
      <c r="D34">
        <f>E34/$E$3</f>
        <v>1.557201762673228E-7</v>
      </c>
      <c r="E34">
        <f t="shared" si="1"/>
        <v>6.5227914903617222E-8</v>
      </c>
      <c r="F34">
        <f t="shared" si="2"/>
        <v>0.14892614331653758</v>
      </c>
      <c r="G34">
        <f>H34/$H$2</f>
        <v>1.4892614331653757E-7</v>
      </c>
      <c r="H34">
        <f t="shared" si="3"/>
        <v>1.1914091465323006E-6</v>
      </c>
      <c r="I34">
        <f>(G34-D34)/$D$2</f>
        <v>-6.7940329507852302E-8</v>
      </c>
      <c r="J34">
        <f>-$J$2*I34</f>
        <v>6.7940329507852304E-13</v>
      </c>
      <c r="K34">
        <f>J34*$G$3*$A$2</f>
        <v>5.1225801615441284E-10</v>
      </c>
      <c r="L34">
        <f>$L$2*B34^$M$2</f>
        <v>2.1271648278632092</v>
      </c>
    </row>
    <row r="35" spans="1:12">
      <c r="A35">
        <f>A34+A$2</f>
        <v>1800</v>
      </c>
      <c r="B35">
        <f t="shared" si="0"/>
        <v>30</v>
      </c>
      <c r="C35">
        <f t="shared" si="4"/>
        <v>0.1544972503361815</v>
      </c>
      <c r="D35">
        <f>E35/$E$3</f>
        <v>1.5449725033618149E-7</v>
      </c>
      <c r="E35">
        <f t="shared" si="1"/>
        <v>6.4715656887462814E-8</v>
      </c>
      <c r="F35">
        <f t="shared" si="2"/>
        <v>0.14899017556855687</v>
      </c>
      <c r="G35">
        <f>H35/$H$2</f>
        <v>1.4899017556855688E-7</v>
      </c>
      <c r="H35">
        <f t="shared" si="3"/>
        <v>1.191921404548455E-6</v>
      </c>
      <c r="I35">
        <f>(G35-D35)/$D$2</f>
        <v>-5.5070747676246157E-8</v>
      </c>
      <c r="J35">
        <f>-$J$2*I35</f>
        <v>5.5070747676246161E-13</v>
      </c>
      <c r="K35">
        <f>J35*$G$3*$A$2</f>
        <v>4.1522365518574112E-10</v>
      </c>
      <c r="L35">
        <f>$L$2*B35^$M$2</f>
        <v>2.1584010513211251</v>
      </c>
    </row>
    <row r="36" spans="1:12">
      <c r="A36">
        <f>A35+A$2</f>
        <v>1860</v>
      </c>
      <c r="B36">
        <f t="shared" si="0"/>
        <v>31</v>
      </c>
      <c r="C36">
        <f t="shared" si="4"/>
        <v>0.15350597687800907</v>
      </c>
      <c r="D36">
        <f>E36/$E$3</f>
        <v>1.5350597687800907E-7</v>
      </c>
      <c r="E36">
        <f t="shared" si="1"/>
        <v>6.4300433232277076E-8</v>
      </c>
      <c r="F36">
        <f t="shared" si="2"/>
        <v>0.14904207852545509</v>
      </c>
      <c r="G36">
        <f>H36/$H$2</f>
        <v>1.490420785254551E-7</v>
      </c>
      <c r="H36">
        <f t="shared" si="3"/>
        <v>1.1923366282036408E-6</v>
      </c>
      <c r="I36">
        <f>(G36-D36)/$D$2</f>
        <v>-4.4638983525539658E-8</v>
      </c>
      <c r="J36">
        <f>-$J$2*I36</f>
        <v>4.4638983525539662E-13</v>
      </c>
      <c r="K36">
        <f>J36*$G$3*$A$2</f>
        <v>3.3657000649812297E-10</v>
      </c>
      <c r="L36">
        <f>$L$2*B36^$M$2</f>
        <v>2.1890492504884014</v>
      </c>
    </row>
    <row r="37" spans="1:12">
      <c r="A37">
        <f>A36+A$2</f>
        <v>1920</v>
      </c>
      <c r="B37">
        <f t="shared" si="0"/>
        <v>32</v>
      </c>
      <c r="C37">
        <f t="shared" si="4"/>
        <v>0.15270247517454938</v>
      </c>
      <c r="D37">
        <f>E37/$E$3</f>
        <v>1.5270247517454937E-7</v>
      </c>
      <c r="E37">
        <f t="shared" si="1"/>
        <v>6.3963863225778957E-8</v>
      </c>
      <c r="F37">
        <f t="shared" si="2"/>
        <v>0.14908414977626736</v>
      </c>
      <c r="G37">
        <f>H37/$H$2</f>
        <v>1.4908414977626737E-7</v>
      </c>
      <c r="H37">
        <f t="shared" si="3"/>
        <v>1.1926731982101389E-6</v>
      </c>
      <c r="I37">
        <f>(G37-D37)/$D$2</f>
        <v>-3.6183253982819997E-8</v>
      </c>
      <c r="J37">
        <f>-$J$2*I37</f>
        <v>3.6183253982819999E-13</v>
      </c>
      <c r="K37">
        <f>J37*$G$3*$A$2</f>
        <v>2.7281530774896226E-10</v>
      </c>
      <c r="L37">
        <f>$L$2*B37^$M$2</f>
        <v>2.2191389441356901</v>
      </c>
    </row>
    <row r="38" spans="1:12">
      <c r="A38">
        <f>A37+A$2</f>
        <v>1980</v>
      </c>
      <c r="B38">
        <f t="shared" si="0"/>
        <v>33</v>
      </c>
      <c r="C38">
        <f t="shared" si="4"/>
        <v>0.15205117660285861</v>
      </c>
      <c r="D38">
        <f>E38/$E$3</f>
        <v>1.5205117660285862E-7</v>
      </c>
      <c r="E38">
        <f t="shared" si="1"/>
        <v>6.3691047918030001E-8</v>
      </c>
      <c r="F38">
        <f t="shared" si="2"/>
        <v>0.14911825168973597</v>
      </c>
      <c r="G38">
        <f>H38/$H$2</f>
        <v>1.4911825168973597E-7</v>
      </c>
      <c r="H38">
        <f t="shared" si="3"/>
        <v>1.1929460135178878E-6</v>
      </c>
      <c r="I38">
        <f>(G38-D38)/$D$2</f>
        <v>-2.9329249131226461E-8</v>
      </c>
      <c r="J38">
        <f>-$J$2*I38</f>
        <v>2.9329249131226464E-13</v>
      </c>
      <c r="K38">
        <f>J38*$G$3*$A$2</f>
        <v>2.2113732865431815E-10</v>
      </c>
      <c r="L38">
        <f>$L$2*B38^$M$2</f>
        <v>2.2486973002348676</v>
      </c>
    </row>
    <row r="39" spans="1:12">
      <c r="A39">
        <f>A38+A$2</f>
        <v>2040</v>
      </c>
      <c r="B39">
        <f t="shared" si="0"/>
        <v>34</v>
      </c>
      <c r="C39">
        <f t="shared" si="4"/>
        <v>0.15152325011849652</v>
      </c>
      <c r="D39">
        <f>E39/$E$3</f>
        <v>1.5152325011849653E-7</v>
      </c>
      <c r="E39">
        <f t="shared" si="1"/>
        <v>6.3469910589375679E-8</v>
      </c>
      <c r="F39">
        <f t="shared" si="2"/>
        <v>0.14914589385581775</v>
      </c>
      <c r="G39">
        <f>H39/$H$2</f>
        <v>1.4914589385581775E-7</v>
      </c>
      <c r="H39">
        <f t="shared" si="3"/>
        <v>1.193167150846542E-6</v>
      </c>
      <c r="I39">
        <f>(G39-D39)/$D$2</f>
        <v>-2.3773562626787769E-8</v>
      </c>
      <c r="J39">
        <f>-$J$2*I39</f>
        <v>2.377356262678777E-13</v>
      </c>
      <c r="K39">
        <f>J39*$G$3*$A$2</f>
        <v>1.79248439275136E-10</v>
      </c>
      <c r="L39">
        <f>$L$2*B39^$M$2</f>
        <v>2.2777493882264377</v>
      </c>
    </row>
    <row r="40" spans="1:12">
      <c r="A40">
        <f>A39+A$2</f>
        <v>2100</v>
      </c>
      <c r="B40">
        <f t="shared" si="0"/>
        <v>35</v>
      </c>
      <c r="C40">
        <f t="shared" si="4"/>
        <v>0.15109532599121431</v>
      </c>
      <c r="D40">
        <f>E40/$E$3</f>
        <v>1.5109532599121432E-7</v>
      </c>
      <c r="E40">
        <f t="shared" si="1"/>
        <v>6.3290662150100537E-8</v>
      </c>
      <c r="F40">
        <f t="shared" si="2"/>
        <v>0.14916829991072716</v>
      </c>
      <c r="G40">
        <f>H40/$H$2</f>
        <v>1.4916829991072715E-7</v>
      </c>
      <c r="H40">
        <f t="shared" si="3"/>
        <v>1.1933463992858172E-6</v>
      </c>
      <c r="I40">
        <f>(G40-D40)/$D$2</f>
        <v>-1.9270260804871647E-8</v>
      </c>
      <c r="J40">
        <f>-$J$2*I40</f>
        <v>1.927026080487165E-13</v>
      </c>
      <c r="K40">
        <f>J40*$G$3*$A$2</f>
        <v>1.4529434346562589E-10</v>
      </c>
      <c r="L40">
        <f>$L$2*B40^$M$2</f>
        <v>2.306318397640688</v>
      </c>
    </row>
    <row r="41" spans="1:12">
      <c r="A41">
        <f>A40+A$2</f>
        <v>2160</v>
      </c>
      <c r="B41">
        <f t="shared" si="0"/>
        <v>36</v>
      </c>
      <c r="C41">
        <f t="shared" si="4"/>
        <v>0.15074846129672662</v>
      </c>
      <c r="D41">
        <f>E41/$E$3</f>
        <v>1.5074846129672663E-7</v>
      </c>
      <c r="E41">
        <f t="shared" si="1"/>
        <v>6.314536780663491E-8</v>
      </c>
      <c r="F41">
        <f t="shared" si="2"/>
        <v>0.14918646170366037</v>
      </c>
      <c r="G41">
        <f>H41/$H$2</f>
        <v>1.4918646170366037E-7</v>
      </c>
      <c r="H41">
        <f t="shared" si="3"/>
        <v>1.1934916936292829E-6</v>
      </c>
      <c r="I41">
        <f>(G41-D41)/$D$2</f>
        <v>-1.5619995930662587E-8</v>
      </c>
      <c r="J41">
        <f>-$J$2*I41</f>
        <v>1.5619995930662589E-13</v>
      </c>
      <c r="K41">
        <f>J41*$G$3*$A$2</f>
        <v>1.1777199471569292E-10</v>
      </c>
      <c r="L41">
        <f>$L$2*B41^$M$2</f>
        <v>2.3344258283875488</v>
      </c>
    </row>
    <row r="42" spans="1:12">
      <c r="A42">
        <f>A41+A$2</f>
        <v>2220</v>
      </c>
      <c r="B42">
        <f t="shared" si="0"/>
        <v>37</v>
      </c>
      <c r="C42">
        <f t="shared" si="4"/>
        <v>0.15046730136997472</v>
      </c>
      <c r="D42">
        <f>E42/$E$3</f>
        <v>1.5046730136997473E-7</v>
      </c>
      <c r="E42">
        <f t="shared" si="1"/>
        <v>6.3027595811919223E-8</v>
      </c>
      <c r="F42">
        <f t="shared" si="2"/>
        <v>0.14920118320299983</v>
      </c>
      <c r="G42">
        <f>H42/$H$2</f>
        <v>1.4920118320299983E-7</v>
      </c>
      <c r="H42">
        <f t="shared" si="3"/>
        <v>1.1936094656239986E-6</v>
      </c>
      <c r="I42">
        <f>(G42-D42)/$D$2</f>
        <v>-1.2661181669749009E-8</v>
      </c>
      <c r="J42">
        <f>-$J$2*I42</f>
        <v>1.2661181669749009E-13</v>
      </c>
      <c r="K42">
        <f>J42*$G$3*$A$2</f>
        <v>9.5463060766678188E-11</v>
      </c>
      <c r="L42">
        <f>$L$2*B42^$M$2</f>
        <v>2.3620916570670123</v>
      </c>
    </row>
    <row r="43" spans="1:12">
      <c r="A43">
        <f>A42+A$2</f>
        <v>2280</v>
      </c>
      <c r="B43">
        <f t="shared" si="0"/>
        <v>38</v>
      </c>
      <c r="C43">
        <f t="shared" si="4"/>
        <v>0.15023940009991926</v>
      </c>
      <c r="D43">
        <f>E43/$E$3</f>
        <v>1.5023940009991926E-7</v>
      </c>
      <c r="E43">
        <f t="shared" si="1"/>
        <v>6.293213275115255E-8</v>
      </c>
      <c r="F43">
        <f t="shared" si="2"/>
        <v>0.14921311608559568</v>
      </c>
      <c r="G43">
        <f>H43/$H$2</f>
        <v>1.4921311608559567E-7</v>
      </c>
      <c r="H43">
        <f t="shared" si="3"/>
        <v>1.1937049286847653E-6</v>
      </c>
      <c r="I43">
        <f>(G43-D43)/$D$2</f>
        <v>-1.0262840143235885E-8</v>
      </c>
      <c r="J43">
        <f>-$J$2*I43</f>
        <v>1.0262840143235885E-13</v>
      </c>
      <c r="K43">
        <f>J43*$G$3*$A$2</f>
        <v>7.7379991677495078E-11</v>
      </c>
      <c r="L43">
        <f>$L$2*B43^$M$2</f>
        <v>2.3893344828845997</v>
      </c>
    </row>
    <row r="44" spans="1:12">
      <c r="A44">
        <f>A43+A$2</f>
        <v>2340</v>
      </c>
      <c r="B44">
        <f t="shared" si="0"/>
        <v>39</v>
      </c>
      <c r="C44">
        <f t="shared" si="4"/>
        <v>0.15005466897734099</v>
      </c>
      <c r="D44">
        <f>E44/$E$3</f>
        <v>1.5005466897734099E-7</v>
      </c>
      <c r="E44">
        <f t="shared" si="1"/>
        <v>6.2854752759475049E-8</v>
      </c>
      <c r="F44">
        <f t="shared" si="2"/>
        <v>0.14922278858455537</v>
      </c>
      <c r="G44">
        <f>H44/$H$2</f>
        <v>1.4922278858455537E-7</v>
      </c>
      <c r="H44">
        <f t="shared" si="3"/>
        <v>1.1937823086764429E-6</v>
      </c>
      <c r="I44">
        <f>(G44-D44)/$D$2</f>
        <v>-8.3188039278562057E-9</v>
      </c>
      <c r="J44">
        <f>-$J$2*I44</f>
        <v>8.3188039278562061E-14</v>
      </c>
      <c r="K44">
        <f>J44*$G$3*$A$2</f>
        <v>6.2722303935376737E-11</v>
      </c>
      <c r="L44">
        <f>$L$2*B44^$M$2</f>
        <v>2.4161716561407856</v>
      </c>
    </row>
    <row r="45" spans="1:12">
      <c r="A45">
        <f>A44+A$2</f>
        <v>2400</v>
      </c>
      <c r="B45">
        <f t="shared" si="0"/>
        <v>40</v>
      </c>
      <c r="C45">
        <f t="shared" si="4"/>
        <v>0.14990493050663958</v>
      </c>
      <c r="D45">
        <f>E45/$E$3</f>
        <v>1.4990493050663958E-7</v>
      </c>
      <c r="E45">
        <f t="shared" si="1"/>
        <v>6.2792030455539666E-8</v>
      </c>
      <c r="F45">
        <f t="shared" si="2"/>
        <v>0.14923062887254729</v>
      </c>
      <c r="G45">
        <f>H45/$H$2</f>
        <v>1.492306288725473E-7</v>
      </c>
      <c r="H45">
        <f t="shared" si="3"/>
        <v>1.1938450309803784E-6</v>
      </c>
      <c r="I45">
        <f>(G45-D45)/$D$2</f>
        <v>-6.7430163409228217E-9</v>
      </c>
      <c r="J45">
        <f>-$J$2*I45</f>
        <v>6.743016340922822E-14</v>
      </c>
      <c r="K45">
        <f>J45*$G$3*$A$2</f>
        <v>5.0841145439229762E-11</v>
      </c>
      <c r="L45">
        <f>$L$2*B45^$M$2</f>
        <v>2.4426193917664949</v>
      </c>
    </row>
    <row r="46" spans="1:12">
      <c r="A46">
        <f>A45+A$2</f>
        <v>2460</v>
      </c>
      <c r="B46">
        <f t="shared" si="0"/>
        <v>41</v>
      </c>
      <c r="C46">
        <f t="shared" si="4"/>
        <v>0.14978355621250294</v>
      </c>
      <c r="D46">
        <f>E46/$E$3</f>
        <v>1.4978355621250295E-7</v>
      </c>
      <c r="E46">
        <f t="shared" si="1"/>
        <v>6.2741189310100433E-8</v>
      </c>
      <c r="F46">
        <f t="shared" si="2"/>
        <v>0.14923698401572721</v>
      </c>
      <c r="G46">
        <f>H46/$H$2</f>
        <v>1.492369840157272E-7</v>
      </c>
      <c r="H46">
        <f t="shared" si="3"/>
        <v>1.1938958721258176E-6</v>
      </c>
      <c r="I46">
        <f>(G46-D46)/$D$2</f>
        <v>-5.4657219677575335E-9</v>
      </c>
      <c r="J46">
        <f>-$J$2*I46</f>
        <v>5.4657219677575338E-14</v>
      </c>
      <c r="K46">
        <f>J46*$G$3*$A$2</f>
        <v>4.1210572753131404E-11</v>
      </c>
      <c r="L46">
        <f>$L$2*B46^$M$2</f>
        <v>2.4686928699733337</v>
      </c>
    </row>
    <row r="47" spans="1:12">
      <c r="A47">
        <f>A46+A$2</f>
        <v>2520</v>
      </c>
      <c r="B47">
        <f t="shared" si="0"/>
        <v>42</v>
      </c>
      <c r="C47">
        <f t="shared" si="4"/>
        <v>0.14968517321708333</v>
      </c>
      <c r="D47">
        <f>E47/$E$3</f>
        <v>1.4968517321708332E-7</v>
      </c>
      <c r="E47">
        <f t="shared" si="1"/>
        <v>6.2699978737347301E-8</v>
      </c>
      <c r="F47">
        <f t="shared" si="2"/>
        <v>0.14924213533732134</v>
      </c>
      <c r="G47">
        <f>H47/$H$2</f>
        <v>1.4924213533732134E-7</v>
      </c>
      <c r="H47">
        <f t="shared" si="3"/>
        <v>1.1939370826985707E-6</v>
      </c>
      <c r="I47">
        <f>(G47-D47)/$D$2</f>
        <v>-4.4303787976198397E-9</v>
      </c>
      <c r="J47">
        <f>-$J$2*I47</f>
        <v>4.4303787976198398E-14</v>
      </c>
      <c r="K47">
        <f>J47*$G$3*$A$2</f>
        <v>3.3404269159733932E-11</v>
      </c>
      <c r="L47">
        <f>$L$2*B47^$M$2</f>
        <v>2.4944063257578502</v>
      </c>
    </row>
    <row r="48" spans="1:12">
      <c r="A48">
        <f>A47+A$2</f>
        <v>2580</v>
      </c>
      <c r="B48">
        <f t="shared" si="0"/>
        <v>43</v>
      </c>
      <c r="C48">
        <f t="shared" si="4"/>
        <v>0.14960542639872615</v>
      </c>
      <c r="D48">
        <f>E48/$E$3</f>
        <v>1.4960542639872615E-7</v>
      </c>
      <c r="E48">
        <f t="shared" si="1"/>
        <v>6.2666574468187566E-8</v>
      </c>
      <c r="F48">
        <f t="shared" si="2"/>
        <v>0.14924631087096632</v>
      </c>
      <c r="G48">
        <f>H48/$H$2</f>
        <v>1.4924631087096631E-7</v>
      </c>
      <c r="H48">
        <f t="shared" si="3"/>
        <v>1.1939704869677305E-6</v>
      </c>
      <c r="I48">
        <f>(G48-D48)/$D$2</f>
        <v>-3.5911552775984274E-9</v>
      </c>
      <c r="J48">
        <f>-$J$2*I48</f>
        <v>3.5911552775984278E-14</v>
      </c>
      <c r="K48">
        <f>J48*$G$3*$A$2</f>
        <v>2.7076672891208247E-11</v>
      </c>
      <c r="L48">
        <f>$L$2*B48^$M$2</f>
        <v>2.5197731287287137</v>
      </c>
    </row>
    <row r="49" spans="1:12">
      <c r="A49">
        <f>A48+A$2</f>
        <v>2640</v>
      </c>
      <c r="B49">
        <f t="shared" si="0"/>
        <v>44</v>
      </c>
      <c r="C49">
        <f t="shared" si="4"/>
        <v>0.14954078560372938</v>
      </c>
      <c r="D49">
        <f>E49/$E$3</f>
        <v>1.4954078560372939E-7</v>
      </c>
      <c r="E49">
        <f t="shared" si="1"/>
        <v>6.2639497795296359E-8</v>
      </c>
      <c r="F49">
        <f t="shared" si="2"/>
        <v>0.14924969545507771</v>
      </c>
      <c r="G49">
        <f>H49/$H$2</f>
        <v>1.4924969545507771E-7</v>
      </c>
      <c r="H49">
        <f t="shared" si="3"/>
        <v>1.1939975636406217E-6</v>
      </c>
      <c r="I49">
        <f>(G49-D49)/$D$2</f>
        <v>-2.9109014865168291E-9</v>
      </c>
      <c r="J49">
        <f>-$J$2*I49</f>
        <v>2.9109014865168294E-14</v>
      </c>
      <c r="K49">
        <f>J49*$G$3*$A$2</f>
        <v>2.1947680140875712E-11</v>
      </c>
      <c r="L49">
        <f>$L$2*B49^$M$2</f>
        <v>2.5448058545026391</v>
      </c>
    </row>
    <row r="50" spans="1:12">
      <c r="A50">
        <f>A49+A$2</f>
        <v>2700</v>
      </c>
      <c r="B50">
        <f t="shared" si="0"/>
        <v>45</v>
      </c>
      <c r="C50">
        <f t="shared" si="4"/>
        <v>0.14948838937697209</v>
      </c>
      <c r="D50">
        <f>E50/$E$3</f>
        <v>1.494883893769721E-7</v>
      </c>
      <c r="E50">
        <f t="shared" si="1"/>
        <v>6.2617550115155487E-8</v>
      </c>
      <c r="F50">
        <f t="shared" si="2"/>
        <v>0.14925243891509532</v>
      </c>
      <c r="G50">
        <f>H50/$H$2</f>
        <v>1.4925243891509532E-7</v>
      </c>
      <c r="H50">
        <f t="shared" si="3"/>
        <v>1.1940195113207626E-6</v>
      </c>
      <c r="I50">
        <f>(G50-D50)/$D$2</f>
        <v>-2.3595046187677621E-9</v>
      </c>
      <c r="J50">
        <f>-$J$2*I50</f>
        <v>2.3595046187677624E-14</v>
      </c>
      <c r="K50">
        <f>J50*$G$3*$A$2</f>
        <v>1.7790245703436774E-11</v>
      </c>
      <c r="L50">
        <f>$L$2*B50^$M$2</f>
        <v>2.569516348729957</v>
      </c>
    </row>
    <row r="51" spans="1:12">
      <c r="A51">
        <f>A50+A$2</f>
        <v>2760</v>
      </c>
      <c r="B51">
        <f t="shared" si="0"/>
        <v>46</v>
      </c>
      <c r="C51">
        <f t="shared" si="4"/>
        <v>0.14944591829383427</v>
      </c>
      <c r="D51">
        <f>E51/$E$3</f>
        <v>1.4944591829383427E-7</v>
      </c>
      <c r="E51">
        <f t="shared" si="1"/>
        <v>6.2599759869452047E-8</v>
      </c>
      <c r="F51">
        <f t="shared" si="2"/>
        <v>0.14925466269580825</v>
      </c>
      <c r="G51">
        <f>H51/$H$2</f>
        <v>1.4925466269580825E-7</v>
      </c>
      <c r="H51">
        <f t="shared" si="3"/>
        <v>1.194037301566466E-6</v>
      </c>
      <c r="I51">
        <f>(G51-D51)/$D$2</f>
        <v>-1.9125559802601646E-9</v>
      </c>
      <c r="J51">
        <f>-$J$2*I51</f>
        <v>1.9125559802601648E-14</v>
      </c>
      <c r="K51">
        <f>J51*$G$3*$A$2</f>
        <v>1.4420332361194943E-11</v>
      </c>
      <c r="L51">
        <f>$L$2*B51^$M$2</f>
        <v>2.593915784656752</v>
      </c>
    </row>
    <row r="52" spans="1:12">
      <c r="A52">
        <f>A51+A$2</f>
        <v>2820</v>
      </c>
      <c r="B52">
        <f t="shared" si="0"/>
        <v>47</v>
      </c>
      <c r="C52">
        <f t="shared" si="4"/>
        <v>0.14941149228618955</v>
      </c>
      <c r="D52">
        <f>E52/$E$3</f>
        <v>1.4941149228618956E-7</v>
      </c>
      <c r="E52">
        <f t="shared" si="1"/>
        <v>6.2585339537090846E-8</v>
      </c>
      <c r="F52">
        <f t="shared" si="2"/>
        <v>0.14925646523735339</v>
      </c>
      <c r="G52">
        <f>H52/$H$2</f>
        <v>1.4925646523735339E-7</v>
      </c>
      <c r="H52">
        <f t="shared" si="3"/>
        <v>1.1940517218988271E-6</v>
      </c>
      <c r="I52">
        <f>(G52-D52)/$D$2</f>
        <v>-1.5502704883617003E-9</v>
      </c>
      <c r="J52">
        <f>-$J$2*I52</f>
        <v>1.5502704883617005E-14</v>
      </c>
      <c r="K52">
        <f>J52*$G$3*$A$2</f>
        <v>1.1688764105554033E-11</v>
      </c>
      <c r="L52">
        <f>$L$2*B52^$M$2</f>
        <v>2.6180147150016784</v>
      </c>
    </row>
    <row r="53" spans="1:12">
      <c r="A53">
        <f>A52+A$2</f>
        <v>2880</v>
      </c>
      <c r="B53">
        <f t="shared" si="0"/>
        <v>48</v>
      </c>
      <c r="C53">
        <f t="shared" si="4"/>
        <v>0.14938358741739904</v>
      </c>
      <c r="D53">
        <f>E53/$E$3</f>
        <v>1.4938358741739904E-7</v>
      </c>
      <c r="E53">
        <f t="shared" si="1"/>
        <v>6.257365077298529E-8</v>
      </c>
      <c r="F53">
        <f t="shared" si="2"/>
        <v>0.14925792633286658</v>
      </c>
      <c r="G53">
        <f>H53/$H$2</f>
        <v>1.4925792633286658E-7</v>
      </c>
      <c r="H53">
        <f t="shared" si="3"/>
        <v>1.1940634106629326E-6</v>
      </c>
      <c r="I53">
        <f>(G53-D53)/$D$2</f>
        <v>-1.2566108453245718E-9</v>
      </c>
      <c r="J53">
        <f>-$J$2*I53</f>
        <v>1.256610845324572E-14</v>
      </c>
      <c r="K53">
        <f>J53*$G$3*$A$2</f>
        <v>9.4746225602230462E-12</v>
      </c>
      <c r="L53">
        <f>$L$2*B53^$M$2</f>
        <v>2.6418231188174279</v>
      </c>
    </row>
    <row r="54" spans="1:12">
      <c r="A54">
        <f>A53+A$2</f>
        <v>2940</v>
      </c>
      <c r="B54">
        <f t="shared" si="0"/>
        <v>49</v>
      </c>
      <c r="C54">
        <f t="shared" si="4"/>
        <v>0.14936096842218319</v>
      </c>
      <c r="D54">
        <f>E54/$E$3</f>
        <v>1.4936096842218319E-7</v>
      </c>
      <c r="E54">
        <f t="shared" si="1"/>
        <v>6.2564176150425064E-8</v>
      </c>
      <c r="F54">
        <f t="shared" si="2"/>
        <v>0.14925911066068659</v>
      </c>
      <c r="G54">
        <f>H54/$H$2</f>
        <v>1.492591106606866E-7</v>
      </c>
      <c r="H54">
        <f t="shared" si="3"/>
        <v>1.1940728852854928E-6</v>
      </c>
      <c r="I54">
        <f>(G54-D54)/$D$2</f>
        <v>-1.018577614965896E-9</v>
      </c>
      <c r="J54">
        <f>-$J$2*I54</f>
        <v>1.0185776149658962E-14</v>
      </c>
      <c r="K54">
        <f>J54*$G$3*$A$2</f>
        <v>7.679894285490895E-12</v>
      </c>
      <c r="L54">
        <f>$L$2*B54^$M$2</f>
        <v>2.6653504439155919</v>
      </c>
    </row>
    <row r="55" spans="1:12">
      <c r="A55">
        <f>A54+A$2</f>
        <v>3000</v>
      </c>
      <c r="B55">
        <f t="shared" si="0"/>
        <v>50</v>
      </c>
      <c r="C55">
        <f t="shared" si="4"/>
        <v>0.1493426340251138</v>
      </c>
      <c r="D55">
        <f>E55/$E$3</f>
        <v>1.493426340251138E-7</v>
      </c>
      <c r="E55">
        <f t="shared" si="1"/>
        <v>6.2556496256139567E-8</v>
      </c>
      <c r="F55">
        <f t="shared" si="2"/>
        <v>0.14926007064747229</v>
      </c>
      <c r="G55">
        <f>H55/$H$2</f>
        <v>1.4926007064747229E-7</v>
      </c>
      <c r="H55">
        <f t="shared" si="3"/>
        <v>1.1940805651797783E-6</v>
      </c>
      <c r="I55">
        <f>(G55-D55)/$D$2</f>
        <v>-8.2563377641504519E-10</v>
      </c>
      <c r="J55">
        <f>-$J$2*I55</f>
        <v>8.256337764150452E-15</v>
      </c>
      <c r="K55">
        <f>J55*$G$3*$A$2</f>
        <v>6.2251320156986498E-12</v>
      </c>
      <c r="L55">
        <f>$L$2*B55^$M$2</f>
        <v>2.6886056453565184</v>
      </c>
    </row>
    <row r="56" spans="1:12">
      <c r="A56">
        <f>A55+A$2</f>
        <v>3060</v>
      </c>
      <c r="B56">
        <f t="shared" si="0"/>
        <v>51</v>
      </c>
      <c r="C56">
        <f t="shared" si="4"/>
        <v>0.14932777261713834</v>
      </c>
      <c r="D56">
        <f>E56/$E$3</f>
        <v>1.4932777261713832E-7</v>
      </c>
      <c r="E56">
        <f t="shared" si="1"/>
        <v>6.2550271124123869E-8</v>
      </c>
      <c r="F56">
        <f t="shared" si="2"/>
        <v>0.14926084878897425</v>
      </c>
      <c r="G56">
        <f>H56/$H$2</f>
        <v>1.4926084878897425E-7</v>
      </c>
      <c r="H56">
        <f t="shared" si="3"/>
        <v>1.194086790311794E-6</v>
      </c>
      <c r="I56">
        <f>(G56-D56)/$D$2</f>
        <v>-6.6923828164079158E-10</v>
      </c>
      <c r="J56">
        <f>-$J$2*I56</f>
        <v>6.6923828164079167E-15</v>
      </c>
      <c r="K56">
        <f>J56*$G$3*$A$2</f>
        <v>5.0459377658490436E-12</v>
      </c>
      <c r="L56">
        <f>$L$2*B56^$M$2</f>
        <v>2.7115972204401633</v>
      </c>
    </row>
    <row r="57" spans="1:12">
      <c r="A57">
        <f>A56+A$2</f>
        <v>3120</v>
      </c>
      <c r="B57">
        <f t="shared" si="0"/>
        <v>52</v>
      </c>
      <c r="C57">
        <f t="shared" si="4"/>
        <v>0.1493157263280688</v>
      </c>
      <c r="D57">
        <f>E57/$E$3</f>
        <v>1.493157263280688E-7</v>
      </c>
      <c r="E57">
        <f t="shared" si="1"/>
        <v>6.2545225186358026E-8</v>
      </c>
      <c r="F57">
        <f t="shared" si="2"/>
        <v>0.14926147953119498</v>
      </c>
      <c r="G57">
        <f>H57/$H$2</f>
        <v>1.4926147953119497E-7</v>
      </c>
      <c r="H57">
        <f t="shared" si="3"/>
        <v>1.1940918362495598E-6</v>
      </c>
      <c r="I57">
        <f>(G57-D57)/$D$2</f>
        <v>-5.4246796873827323E-10</v>
      </c>
      <c r="J57">
        <f>-$J$2*I57</f>
        <v>5.4246796873827328E-15</v>
      </c>
      <c r="K57">
        <f>J57*$G$3*$A$2</f>
        <v>4.0901121249502486E-12</v>
      </c>
      <c r="L57">
        <f>$L$2*B57^$M$2</f>
        <v>2.7343332405780911</v>
      </c>
    </row>
    <row r="58" spans="1:12">
      <c r="A58">
        <f>A57+A$2</f>
        <v>3180</v>
      </c>
      <c r="B58">
        <f t="shared" si="0"/>
        <v>53</v>
      </c>
      <c r="C58">
        <f t="shared" si="4"/>
        <v>0.14930596190463152</v>
      </c>
      <c r="D58">
        <f>E58/$E$3</f>
        <v>1.4930596190463152E-7</v>
      </c>
      <c r="E58">
        <f t="shared" si="1"/>
        <v>6.2541135074233072E-8</v>
      </c>
      <c r="F58">
        <f t="shared" si="2"/>
        <v>0.1492619907952106</v>
      </c>
      <c r="G58">
        <f>H58/$H$2</f>
        <v>1.4926199079521059E-7</v>
      </c>
      <c r="H58">
        <f t="shared" si="3"/>
        <v>1.1940959263616847E-6</v>
      </c>
      <c r="I58">
        <f>(G58-D58)/$D$2</f>
        <v>-4.3971109420931371E-10</v>
      </c>
      <c r="J58">
        <f>-$J$2*I58</f>
        <v>4.3971109420931375E-15</v>
      </c>
      <c r="K58">
        <f>J58*$G$3*$A$2</f>
        <v>3.3153435438477835E-12</v>
      </c>
      <c r="L58">
        <f>$L$2*B58^$M$2</f>
        <v>2.7568213803789763</v>
      </c>
    </row>
    <row r="59" spans="1:12">
      <c r="A59">
        <f>A58+A$2</f>
        <v>3240</v>
      </c>
      <c r="B59">
        <f t="shared" si="0"/>
        <v>54</v>
      </c>
      <c r="C59">
        <f t="shared" si="4"/>
        <v>0.14929804710493574</v>
      </c>
      <c r="D59">
        <f>E59/$E$3</f>
        <v>1.4929804710493574E-7</v>
      </c>
      <c r="E59">
        <f t="shared" si="1"/>
        <v>6.2537819730689219E-8</v>
      </c>
      <c r="F59">
        <f t="shared" si="2"/>
        <v>0.14926240521315359</v>
      </c>
      <c r="G59">
        <f>H59/$H$2</f>
        <v>1.4926240521315358E-7</v>
      </c>
      <c r="H59">
        <f t="shared" si="3"/>
        <v>1.1940992417052287E-6</v>
      </c>
      <c r="I59">
        <f>(G59-D59)/$D$2</f>
        <v>-3.5641891782156944E-10</v>
      </c>
      <c r="J59">
        <f>-$J$2*I59</f>
        <v>3.5641891782156946E-15</v>
      </c>
      <c r="K59">
        <f>J59*$G$3*$A$2</f>
        <v>2.6873353291888009E-12</v>
      </c>
      <c r="L59">
        <f>$L$2*B59^$M$2</f>
        <v>2.7790689442389689</v>
      </c>
    </row>
    <row r="60" spans="1:12">
      <c r="A60">
        <f>A59+A$2</f>
        <v>3300</v>
      </c>
      <c r="B60">
        <f t="shared" si="0"/>
        <v>55</v>
      </c>
      <c r="C60">
        <f t="shared" si="4"/>
        <v>0.14929163156441491</v>
      </c>
      <c r="D60">
        <f>E60/$E$3</f>
        <v>1.4929163156441492E-7</v>
      </c>
      <c r="E60">
        <f t="shared" si="1"/>
        <v>6.2535132395360026E-8</v>
      </c>
      <c r="F60">
        <f t="shared" si="2"/>
        <v>0.14926274113006974</v>
      </c>
      <c r="G60">
        <f>H60/$H$2</f>
        <v>1.4926274113006974E-7</v>
      </c>
      <c r="H60">
        <f t="shared" si="3"/>
        <v>1.1941019290405579E-6</v>
      </c>
      <c r="I60">
        <f>(G60-D60)/$D$2</f>
        <v>-2.8890434345185489E-10</v>
      </c>
      <c r="J60">
        <f>-$J$2*I60</f>
        <v>2.889043434518549E-15</v>
      </c>
      <c r="K60">
        <f>J60*$G$3*$A$2</f>
        <v>2.178287431148472E-12</v>
      </c>
      <c r="L60">
        <f>$L$2*B60^$M$2</f>
        <v>2.8010828906930185</v>
      </c>
    </row>
    <row r="61" spans="1:12">
      <c r="A61">
        <f>A60+A$2</f>
        <v>3360</v>
      </c>
      <c r="B61">
        <f t="shared" si="0"/>
        <v>56</v>
      </c>
      <c r="C61">
        <f t="shared" si="4"/>
        <v>0.14928643128623278</v>
      </c>
      <c r="D61">
        <f>E61/$E$3</f>
        <v>1.4928643128623279E-7</v>
      </c>
      <c r="E61">
        <f t="shared" si="1"/>
        <v>6.2532954107928872E-8</v>
      </c>
      <c r="F61">
        <f t="shared" si="2"/>
        <v>0.14926301341599862</v>
      </c>
      <c r="G61">
        <f>H61/$H$2</f>
        <v>1.4926301341599863E-7</v>
      </c>
      <c r="H61">
        <f t="shared" si="3"/>
        <v>1.1941041073279891E-6</v>
      </c>
      <c r="I61">
        <f>(G61-D61)/$D$2</f>
        <v>-2.3417870234162559E-10</v>
      </c>
      <c r="J61">
        <f>-$J$2*I61</f>
        <v>2.3417870234162563E-15</v>
      </c>
      <c r="K61">
        <f>J61*$G$3*$A$2</f>
        <v>1.7656658181687409E-12</v>
      </c>
      <c r="L61">
        <f>$L$2*B61^$M$2</f>
        <v>2.822869854752792</v>
      </c>
    </row>
    <row r="62" spans="1:12">
      <c r="A62">
        <f>A61+A$2</f>
        <v>3420</v>
      </c>
      <c r="B62">
        <f t="shared" si="0"/>
        <v>57</v>
      </c>
      <c r="C62">
        <f t="shared" si="4"/>
        <v>0.14928221606959063</v>
      </c>
      <c r="D62">
        <f>E62/$E$3</f>
        <v>1.4928221606959063E-7</v>
      </c>
      <c r="E62">
        <f t="shared" si="1"/>
        <v>6.2531188442110699E-8</v>
      </c>
      <c r="F62">
        <f t="shared" si="2"/>
        <v>0.1492632341242259</v>
      </c>
      <c r="G62">
        <f>H62/$H$2</f>
        <v>1.4926323412422591E-7</v>
      </c>
      <c r="H62">
        <f t="shared" si="3"/>
        <v>1.1941058729938073E-6</v>
      </c>
      <c r="I62">
        <f>(G62-D62)/$D$2</f>
        <v>-1.8981945364716495E-10</v>
      </c>
      <c r="J62">
        <f>-$J$2*I62</f>
        <v>1.8981945364716498E-15</v>
      </c>
      <c r="K62">
        <f>J62*$G$3*$A$2</f>
        <v>1.4312049626072684E-12</v>
      </c>
      <c r="L62">
        <f>$L$2*B62^$M$2</f>
        <v>2.8444361684304966</v>
      </c>
    </row>
    <row r="63" spans="1:12">
      <c r="A63">
        <f>A62+A$2</f>
        <v>3480</v>
      </c>
      <c r="B63">
        <f t="shared" si="0"/>
        <v>58</v>
      </c>
      <c r="C63">
        <f t="shared" si="4"/>
        <v>0.14927879931942498</v>
      </c>
      <c r="D63">
        <f>E63/$E$3</f>
        <v>1.4927879931942497E-7</v>
      </c>
      <c r="E63">
        <f t="shared" si="1"/>
        <v>6.2529757237148086E-8</v>
      </c>
      <c r="F63">
        <f t="shared" si="2"/>
        <v>0.14926341302484625</v>
      </c>
      <c r="G63">
        <f>H63/$H$2</f>
        <v>1.4926341302484625E-7</v>
      </c>
      <c r="H63">
        <f t="shared" si="3"/>
        <v>1.19410730419877E-6</v>
      </c>
      <c r="I63">
        <f>(G63-D63)/$D$2</f>
        <v>-1.5386294578723969E-10</v>
      </c>
      <c r="J63">
        <f>-$J$2*I63</f>
        <v>1.538629457872397E-15</v>
      </c>
      <c r="K63">
        <f>J63*$G$3*$A$2</f>
        <v>1.1600992803477045E-12</v>
      </c>
      <c r="L63">
        <f>$L$2*B63^$M$2</f>
        <v>2.8657878796250413</v>
      </c>
    </row>
    <row r="64" spans="1:12">
      <c r="A64">
        <f>A63+A$2</f>
        <v>3540</v>
      </c>
      <c r="B64">
        <f t="shared" si="0"/>
        <v>59</v>
      </c>
      <c r="C64">
        <f t="shared" si="4"/>
        <v>0.14927602978640078</v>
      </c>
      <c r="D64">
        <f>E64/$E$3</f>
        <v>1.4927602978640079E-7</v>
      </c>
      <c r="E64">
        <f t="shared" si="1"/>
        <v>6.2528597137867739E-8</v>
      </c>
      <c r="F64">
        <f t="shared" si="2"/>
        <v>0.14926355803725627</v>
      </c>
      <c r="G64">
        <f>H64/$H$2</f>
        <v>1.4926355803725628E-7</v>
      </c>
      <c r="H64">
        <f t="shared" si="3"/>
        <v>1.1941084642980503E-6</v>
      </c>
      <c r="I64">
        <f>(G64-D64)/$D$2</f>
        <v>-1.2471749144501065E-10</v>
      </c>
      <c r="J64">
        <f>-$J$2*I64</f>
        <v>1.2471749144501066E-15</v>
      </c>
      <c r="K64">
        <f>J64*$G$3*$A$2</f>
        <v>9.403477317547042E-13</v>
      </c>
      <c r="L64">
        <f>$L$2*B64^$M$2</f>
        <v>2.8869307695270625</v>
      </c>
    </row>
    <row r="65" spans="1:12">
      <c r="A65">
        <f>A64+A$2</f>
        <v>3600</v>
      </c>
      <c r="B65">
        <f t="shared" si="0"/>
        <v>60</v>
      </c>
      <c r="C65">
        <f t="shared" si="4"/>
        <v>0.14927378487155479</v>
      </c>
      <c r="D65">
        <f>E65/$E$3</f>
        <v>1.4927378487155479E-7</v>
      </c>
      <c r="E65">
        <f t="shared" si="1"/>
        <v>6.2527656790135983E-8</v>
      </c>
      <c r="F65">
        <f t="shared" si="2"/>
        <v>0.14926367558072276</v>
      </c>
      <c r="G65">
        <f>H65/$H$2</f>
        <v>1.4926367558072276E-7</v>
      </c>
      <c r="H65">
        <f t="shared" si="3"/>
        <v>1.1941094046457821E-6</v>
      </c>
      <c r="I65">
        <f>(G65-D65)/$D$2</f>
        <v>-1.0109290832027912E-10</v>
      </c>
      <c r="J65">
        <f>-$J$2*I65</f>
        <v>1.0109290832027913E-15</v>
      </c>
      <c r="K65">
        <f>J65*$G$3*$A$2</f>
        <v>7.6222257146163701E-13</v>
      </c>
      <c r="L65">
        <f>$L$2*B65^$M$2</f>
        <v>2.9078703686820253</v>
      </c>
    </row>
    <row r="66" spans="1:12">
      <c r="A66">
        <f>A65+A$2</f>
        <v>3660</v>
      </c>
      <c r="B66">
        <f t="shared" si="0"/>
        <v>61</v>
      </c>
      <c r="C66">
        <f t="shared" si="4"/>
        <v>0.14927196519920502</v>
      </c>
      <c r="D66">
        <f>E66/$E$3</f>
        <v>1.4927196519920502E-7</v>
      </c>
      <c r="E66">
        <f t="shared" si="1"/>
        <v>6.2526894567564525E-8</v>
      </c>
      <c r="F66">
        <f t="shared" si="2"/>
        <v>0.1492637708585442</v>
      </c>
      <c r="G66">
        <f>H66/$H$2</f>
        <v>1.492637708585442E-7</v>
      </c>
      <c r="H66">
        <f t="shared" si="3"/>
        <v>1.1941101668683536E-6</v>
      </c>
      <c r="I66">
        <f>(G66-D66)/$D$2</f>
        <v>-8.1943406608205786E-11</v>
      </c>
      <c r="J66">
        <f>-$J$2*I66</f>
        <v>8.1943406608205796E-16</v>
      </c>
      <c r="K66">
        <f>J66*$G$3*$A$2</f>
        <v>6.1783873010510569E-13</v>
      </c>
      <c r="L66">
        <f>$L$2*B66^$M$2</f>
        <v>2.9286119718354029</v>
      </c>
    </row>
    <row r="67" spans="1:12">
      <c r="A67">
        <f>A66+A$2</f>
        <v>3720</v>
      </c>
      <c r="B67">
        <f t="shared" si="0"/>
        <v>62</v>
      </c>
      <c r="C67">
        <f t="shared" si="4"/>
        <v>0.14927049021788608</v>
      </c>
      <c r="D67">
        <f>E67/$E$3</f>
        <v>1.4927049021788609E-7</v>
      </c>
      <c r="E67">
        <f t="shared" si="1"/>
        <v>6.2526276728834418E-8</v>
      </c>
      <c r="F67">
        <f t="shared" si="2"/>
        <v>0.14926384808838547</v>
      </c>
      <c r="G67">
        <f>H67/$H$2</f>
        <v>1.4926384808838546E-7</v>
      </c>
      <c r="H67">
        <f t="shared" si="3"/>
        <v>1.1941107847070837E-6</v>
      </c>
      <c r="I67">
        <f>(G67-D67)/$D$2</f>
        <v>-6.6421295006236883E-11</v>
      </c>
      <c r="J67">
        <f>-$J$2*I67</f>
        <v>6.6421295006236888E-16</v>
      </c>
      <c r="K67">
        <f>J67*$G$3*$A$2</f>
        <v>5.0080476584043417E-13</v>
      </c>
      <c r="L67">
        <f>$L$2*B67^$M$2</f>
        <v>2.9491606516706472</v>
      </c>
    </row>
    <row r="68" spans="1:12">
      <c r="A68">
        <f>A67+A$2</f>
        <v>3780</v>
      </c>
      <c r="B68">
        <f t="shared" si="0"/>
        <v>63</v>
      </c>
      <c r="C68">
        <f t="shared" si="4"/>
        <v>0.14926929463457594</v>
      </c>
      <c r="D68">
        <f>E68/$E$3</f>
        <v>1.4926929463457595E-7</v>
      </c>
      <c r="E68">
        <f t="shared" si="1"/>
        <v>6.2525775924068573E-8</v>
      </c>
      <c r="F68">
        <f t="shared" si="2"/>
        <v>0.14926391068898121</v>
      </c>
      <c r="G68">
        <f>H68/$H$2</f>
        <v>1.492639106889812E-7</v>
      </c>
      <c r="H68">
        <f t="shared" si="3"/>
        <v>1.1941112855118496E-6</v>
      </c>
      <c r="I68">
        <f>(G68-D68)/$D$2</f>
        <v>-5.3839455947518894E-11</v>
      </c>
      <c r="J68">
        <f>-$J$2*I68</f>
        <v>5.3839455947518901E-16</v>
      </c>
      <c r="K68">
        <f>J68*$G$3*$A$2</f>
        <v>4.0593993426719207E-13</v>
      </c>
      <c r="L68">
        <f>$L$2*B68^$M$2</f>
        <v>2.9695212715389983</v>
      </c>
    </row>
    <row r="69" spans="1:12">
      <c r="A69">
        <f>A68+A$2</f>
        <v>3840</v>
      </c>
      <c r="B69">
        <f t="shared" si="0"/>
        <v>64</v>
      </c>
      <c r="C69">
        <f t="shared" si="4"/>
        <v>0.14926832552436889</v>
      </c>
      <c r="D69">
        <f>E69/$E$3</f>
        <v>1.492683255243689E-7</v>
      </c>
      <c r="E69">
        <f t="shared" si="1"/>
        <v>6.252536998413431E-8</v>
      </c>
      <c r="F69">
        <f t="shared" si="2"/>
        <v>0.149263961431473</v>
      </c>
      <c r="G69">
        <f>H69/$H$2</f>
        <v>1.4926396143147299E-7</v>
      </c>
      <c r="H69">
        <f t="shared" si="3"/>
        <v>1.194111691451784E-6</v>
      </c>
      <c r="I69">
        <f>(G69-D69)/$D$2</f>
        <v>-4.3640928959047248E-11</v>
      </c>
      <c r="J69">
        <f>-$J$2*I69</f>
        <v>4.3640928959047253E-16</v>
      </c>
      <c r="K69">
        <f>J69*$G$3*$A$2</f>
        <v>3.2904485235258461E-13</v>
      </c>
      <c r="L69">
        <f>$L$2*B69^$M$2</f>
        <v>2.9896984972698766</v>
      </c>
    </row>
    <row r="70" spans="1:12">
      <c r="A70">
        <f>A69+A$2</f>
        <v>3900</v>
      </c>
      <c r="B70">
        <f t="shared" si="0"/>
        <v>65</v>
      </c>
      <c r="C70">
        <f t="shared" si="4"/>
        <v>0.14926753998764763</v>
      </c>
      <c r="D70">
        <f>E70/$E$3</f>
        <v>1.4926753998764765E-7</v>
      </c>
      <c r="E70">
        <f t="shared" si="1"/>
        <v>6.2525040939281954E-8</v>
      </c>
      <c r="F70">
        <f t="shared" si="2"/>
        <v>0.14926400256207953</v>
      </c>
      <c r="G70">
        <f>H70/$H$2</f>
        <v>1.4926400256207954E-7</v>
      </c>
      <c r="H70">
        <f t="shared" si="3"/>
        <v>1.1941120204966363E-6</v>
      </c>
      <c r="I70">
        <f>(G70-D70)/$D$2</f>
        <v>-3.5374255681123765E-11</v>
      </c>
      <c r="J70">
        <f>-$J$2*I70</f>
        <v>3.5374255681123769E-16</v>
      </c>
      <c r="K70">
        <f>J70*$G$3*$A$2</f>
        <v>2.6671560425766106E-13</v>
      </c>
      <c r="L70">
        <f>$L$2*B70^$M$2</f>
        <v>3.0096968081415358</v>
      </c>
    </row>
    <row r="71" spans="1:12">
      <c r="A71">
        <f>A70+A$2</f>
        <v>3960</v>
      </c>
      <c r="B71">
        <f t="shared" ref="B71:B95" si="5">A71/60</f>
        <v>66</v>
      </c>
      <c r="C71">
        <f t="shared" si="4"/>
        <v>0.14926690325104539</v>
      </c>
      <c r="D71">
        <f>E71/$E$3</f>
        <v>1.4926690325104537E-7</v>
      </c>
      <c r="E71">
        <f t="shared" si="1"/>
        <v>6.2524774223677697E-8</v>
      </c>
      <c r="F71">
        <f t="shared" si="2"/>
        <v>0.14926403590153006</v>
      </c>
      <c r="G71">
        <f>H71/$H$2</f>
        <v>1.4926403590153007E-7</v>
      </c>
      <c r="H71">
        <f t="shared" si="3"/>
        <v>1.1941122872122405E-6</v>
      </c>
      <c r="I71">
        <f>(G71-D71)/$D$2</f>
        <v>-2.8673495153052425E-11</v>
      </c>
      <c r="J71">
        <f>-$J$2*I71</f>
        <v>2.8673495153052429E-16</v>
      </c>
      <c r="K71">
        <f>J71*$G$3*$A$2</f>
        <v>2.1619306014137298E-13</v>
      </c>
      <c r="L71">
        <f>$L$2*B71^$M$2</f>
        <v>3.0295205070836406</v>
      </c>
    </row>
    <row r="72" spans="1:12">
      <c r="A72">
        <f>A71+A$2</f>
        <v>4020</v>
      </c>
      <c r="B72">
        <f t="shared" si="5"/>
        <v>67</v>
      </c>
      <c r="C72">
        <f t="shared" si="4"/>
        <v>0.14926638712813262</v>
      </c>
      <c r="D72">
        <f>E72/$E$3</f>
        <v>1.4926638712813262E-7</v>
      </c>
      <c r="E72">
        <f t="shared" ref="E72:E90" si="6">E71-K71</f>
        <v>6.2524558030617551E-8</v>
      </c>
      <c r="F72">
        <f t="shared" ref="F72:F90" si="7">G72*1000000</f>
        <v>0.14926406292566258</v>
      </c>
      <c r="G72">
        <f>H72/$H$2</f>
        <v>1.4926406292566258E-7</v>
      </c>
      <c r="H72">
        <f t="shared" ref="H72:H90" si="8">H71+K71</f>
        <v>1.1941125034053007E-6</v>
      </c>
      <c r="I72">
        <f>(G72-D72)/$D$2</f>
        <v>-2.3242024700305266E-11</v>
      </c>
      <c r="J72">
        <f>-$J$2*I72</f>
        <v>2.3242024700305268E-16</v>
      </c>
      <c r="K72">
        <f>J72*$G$3*$A$2</f>
        <v>1.7524073772727574E-13</v>
      </c>
      <c r="L72">
        <f>$L$2*B72^$M$2</f>
        <v>3.0491737301763195</v>
      </c>
    </row>
    <row r="73" spans="1:12">
      <c r="A73">
        <f>A72+A$2</f>
        <v>4080</v>
      </c>
      <c r="B73">
        <f t="shared" si="5"/>
        <v>68</v>
      </c>
      <c r="C73">
        <f t="shared" ref="C73:C95" si="9">D73*1000000</f>
        <v>0.14926596877168802</v>
      </c>
      <c r="D73">
        <f>E73/$E$3</f>
        <v>1.4926596877168801E-7</v>
      </c>
      <c r="E73">
        <f t="shared" si="6"/>
        <v>6.252438278987983E-8</v>
      </c>
      <c r="F73">
        <f t="shared" si="7"/>
        <v>0.14926408483075479</v>
      </c>
      <c r="G73">
        <f>H73/$H$2</f>
        <v>1.4926408483075479E-7</v>
      </c>
      <c r="H73">
        <f t="shared" si="8"/>
        <v>1.1941126786460383E-6</v>
      </c>
      <c r="I73">
        <f>(G73-D73)/$D$2</f>
        <v>-1.8839409332212094E-11</v>
      </c>
      <c r="J73">
        <f>-$J$2*I73</f>
        <v>1.8839409332212095E-16</v>
      </c>
      <c r="K73">
        <f>J73*$G$3*$A$2</f>
        <v>1.4204579989451643E-13</v>
      </c>
      <c r="L73">
        <f>$L$2*B73^$M$2</f>
        <v>3.0686604555039416</v>
      </c>
    </row>
    <row r="74" spans="1:12">
      <c r="A74">
        <f>A73+A$2</f>
        <v>4140</v>
      </c>
      <c r="B74">
        <f t="shared" si="5"/>
        <v>69</v>
      </c>
      <c r="C74">
        <f t="shared" si="9"/>
        <v>0.14926562966232007</v>
      </c>
      <c r="D74">
        <f>E74/$E$3</f>
        <v>1.4926562966232006E-7</v>
      </c>
      <c r="E74">
        <f t="shared" si="6"/>
        <v>6.2524240744079939E-8</v>
      </c>
      <c r="F74">
        <f t="shared" si="7"/>
        <v>0.14926410258647976</v>
      </c>
      <c r="G74">
        <f>H74/$H$2</f>
        <v>1.4926410258647977E-7</v>
      </c>
      <c r="H74">
        <f t="shared" si="8"/>
        <v>1.1941128206918381E-6</v>
      </c>
      <c r="I74">
        <f>(G74-D74)/$D$2</f>
        <v>-1.5270758402930715E-11</v>
      </c>
      <c r="J74">
        <f>-$J$2*I74</f>
        <v>1.5270758402930716E-16</v>
      </c>
      <c r="K74">
        <f>J74*$G$3*$A$2</f>
        <v>1.151388057921402E-13</v>
      </c>
      <c r="L74">
        <f>$L$2*B74^$M$2</f>
        <v>3.0879845114162658</v>
      </c>
    </row>
    <row r="75" spans="1:12">
      <c r="A75">
        <f>A74+A$2</f>
        <v>4200</v>
      </c>
      <c r="B75">
        <f t="shared" si="5"/>
        <v>70</v>
      </c>
      <c r="C75">
        <f t="shared" si="9"/>
        <v>0.14926535478866876</v>
      </c>
      <c r="D75">
        <f>E75/$E$3</f>
        <v>1.4926535478866877E-7</v>
      </c>
      <c r="E75">
        <f t="shared" si="6"/>
        <v>6.2524125605274142E-8</v>
      </c>
      <c r="F75">
        <f t="shared" si="7"/>
        <v>0.14926411697883049</v>
      </c>
      <c r="G75">
        <f>H75/$H$2</f>
        <v>1.4926411697883048E-7</v>
      </c>
      <c r="H75">
        <f t="shared" si="8"/>
        <v>1.1941129358306439E-6</v>
      </c>
      <c r="I75">
        <f>(G75-D75)/$D$2</f>
        <v>-1.2378098382885195E-11</v>
      </c>
      <c r="J75">
        <f>-$J$2*I75</f>
        <v>1.2378098382885195E-16</v>
      </c>
      <c r="K75">
        <f>J75*$G$3*$A$2</f>
        <v>9.3328663068201202E-14</v>
      </c>
      <c r="L75">
        <f>$L$2*B75^$M$2</f>
        <v>3.107149584244612</v>
      </c>
    </row>
    <row r="76" spans="1:12">
      <c r="A76">
        <f>A75+A$2</f>
        <v>4260</v>
      </c>
      <c r="B76">
        <f t="shared" si="5"/>
        <v>71</v>
      </c>
      <c r="C76">
        <f t="shared" si="9"/>
        <v>0.1492651319828979</v>
      </c>
      <c r="D76">
        <f>E76/$E$3</f>
        <v>1.4926513198289788E-7</v>
      </c>
      <c r="E76">
        <f t="shared" si="6"/>
        <v>6.2524032276611071E-8</v>
      </c>
      <c r="F76">
        <f t="shared" si="7"/>
        <v>0.14926412864491337</v>
      </c>
      <c r="G76">
        <f>H76/$H$2</f>
        <v>1.4926412864491336E-7</v>
      </c>
      <c r="H76">
        <f t="shared" si="8"/>
        <v>1.1941130291593069E-6</v>
      </c>
      <c r="I76">
        <f>(G76-D76)/$D$2</f>
        <v>-1.0033379845279979E-11</v>
      </c>
      <c r="J76">
        <f>-$J$2*I76</f>
        <v>1.003337984527998E-16</v>
      </c>
      <c r="K76">
        <f>J76*$G$3*$A$2</f>
        <v>7.5649901790257956E-14</v>
      </c>
      <c r="L76">
        <f>$L$2*B76^$M$2</f>
        <v>3.1261592255162487</v>
      </c>
    </row>
    <row r="77" spans="1:12">
      <c r="A77">
        <f>A76+A$2</f>
        <v>4320</v>
      </c>
      <c r="B77">
        <f t="shared" si="5"/>
        <v>72</v>
      </c>
      <c r="C77">
        <f t="shared" si="9"/>
        <v>0.1492649513820607</v>
      </c>
      <c r="D77">
        <f>E77/$E$3</f>
        <v>1.4926495138206068E-7</v>
      </c>
      <c r="E77">
        <f t="shared" si="6"/>
        <v>6.2523956626709285E-8</v>
      </c>
      <c r="F77">
        <f t="shared" si="7"/>
        <v>0.14926413810115108</v>
      </c>
      <c r="G77">
        <f>H77/$H$2</f>
        <v>1.4926413810115109E-7</v>
      </c>
      <c r="H77">
        <f t="shared" si="8"/>
        <v>1.1941131048092087E-6</v>
      </c>
      <c r="I77">
        <f>(G77-D77)/$D$2</f>
        <v>-8.1328090959411781E-12</v>
      </c>
      <c r="J77">
        <f>-$J$2*I77</f>
        <v>8.1328090959411788E-17</v>
      </c>
      <c r="K77">
        <f>J77*$G$3*$A$2</f>
        <v>6.1319935941256933E-14</v>
      </c>
      <c r="L77">
        <f>$L$2*B77^$M$2</f>
        <v>3.1450168587062097</v>
      </c>
    </row>
    <row r="78" spans="1:12">
      <c r="A78">
        <f>A77+A$2</f>
        <v>4380</v>
      </c>
      <c r="B78">
        <f t="shared" si="5"/>
        <v>73</v>
      </c>
      <c r="C78">
        <f t="shared" si="9"/>
        <v>0.14926480499149694</v>
      </c>
      <c r="D78">
        <f>E78/$E$3</f>
        <v>1.4926480499149694E-7</v>
      </c>
      <c r="E78">
        <f t="shared" si="6"/>
        <v>6.2523895306773338E-8</v>
      </c>
      <c r="F78">
        <f t="shared" si="7"/>
        <v>0.14926414576614308</v>
      </c>
      <c r="G78">
        <f>H78/$H$2</f>
        <v>1.4926414576614308E-7</v>
      </c>
      <c r="H78">
        <f t="shared" si="8"/>
        <v>1.1941131661291446E-6</v>
      </c>
      <c r="I78">
        <f>(G78-D78)/$D$2</f>
        <v>-6.5922535386500904E-12</v>
      </c>
      <c r="J78">
        <f>-$J$2*I78</f>
        <v>6.5922535386500903E-17</v>
      </c>
      <c r="K78">
        <f>J78*$G$3*$A$2</f>
        <v>4.9704420690298666E-14</v>
      </c>
      <c r="L78">
        <f>$L$2*B78^$M$2</f>
        <v>3.1637257855621925</v>
      </c>
    </row>
    <row r="79" spans="1:12">
      <c r="A79">
        <f>A78+A$2</f>
        <v>4440</v>
      </c>
      <c r="B79">
        <f t="shared" si="5"/>
        <v>74</v>
      </c>
      <c r="C79">
        <f t="shared" si="9"/>
        <v>0.14926468633093323</v>
      </c>
      <c r="D79">
        <f>E79/$E$3</f>
        <v>1.4926468633093324E-7</v>
      </c>
      <c r="E79">
        <f t="shared" si="6"/>
        <v>6.2523845602352649E-8</v>
      </c>
      <c r="F79">
        <f t="shared" si="7"/>
        <v>0.14926415197919565</v>
      </c>
      <c r="G79">
        <f>H79/$H$2</f>
        <v>1.4926415197919565E-7</v>
      </c>
      <c r="H79">
        <f t="shared" si="8"/>
        <v>1.1941132158335652E-6</v>
      </c>
      <c r="I79">
        <f>(G79-D79)/$D$2</f>
        <v>-5.3435173758297558E-12</v>
      </c>
      <c r="J79">
        <f>-$J$2*I79</f>
        <v>5.3435173758297565E-17</v>
      </c>
      <c r="K79">
        <f>J79*$G$3*$A$2</f>
        <v>4.0289171837366822E-14</v>
      </c>
      <c r="L79">
        <f>$L$2*B79^$M$2</f>
        <v>3.182289192034998</v>
      </c>
    </row>
    <row r="80" spans="1:12">
      <c r="A80">
        <f>A79+A$2</f>
        <v>4500</v>
      </c>
      <c r="B80">
        <f t="shared" si="5"/>
        <v>75</v>
      </c>
      <c r="C80">
        <f t="shared" si="9"/>
        <v>0.14926459014762047</v>
      </c>
      <c r="D80">
        <f>E80/$E$3</f>
        <v>1.4926459014762048E-7</v>
      </c>
      <c r="E80">
        <f t="shared" si="6"/>
        <v>6.2523805313180816E-8</v>
      </c>
      <c r="F80">
        <f t="shared" si="7"/>
        <v>0.14926415701534215</v>
      </c>
      <c r="G80">
        <f>H80/$H$2</f>
        <v>1.4926415701534214E-7</v>
      </c>
      <c r="H80">
        <f t="shared" si="8"/>
        <v>1.1941132561227371E-6</v>
      </c>
      <c r="I80">
        <f>(G80-D80)/$D$2</f>
        <v>-4.3313227833856385E-12</v>
      </c>
      <c r="J80">
        <f>-$J$2*I80</f>
        <v>4.3313227833856387E-17</v>
      </c>
      <c r="K80">
        <f>J80*$G$3*$A$2</f>
        <v>3.2657404407865003E-14</v>
      </c>
      <c r="L80">
        <f>$L$2*B80^$M$2</f>
        <v>3.2007101538440654</v>
      </c>
    </row>
    <row r="81" spans="1:12">
      <c r="A81">
        <f>A80+A$2</f>
        <v>4560</v>
      </c>
      <c r="B81">
        <f t="shared" si="5"/>
        <v>76</v>
      </c>
      <c r="C81">
        <f t="shared" si="9"/>
        <v>0.1492645121838104</v>
      </c>
      <c r="D81">
        <f>E81/$E$3</f>
        <v>1.4926451218381039E-7</v>
      </c>
      <c r="E81">
        <f t="shared" si="6"/>
        <v>6.2523772655776406E-8</v>
      </c>
      <c r="F81">
        <f t="shared" si="7"/>
        <v>0.14926416109751769</v>
      </c>
      <c r="G81">
        <f>H81/$H$2</f>
        <v>1.4926416109751769E-7</v>
      </c>
      <c r="H81">
        <f t="shared" si="8"/>
        <v>1.1941132887801415E-6</v>
      </c>
      <c r="I81">
        <f>(G81-D81)/$D$2</f>
        <v>-3.5108629270181227E-12</v>
      </c>
      <c r="J81">
        <f>-$J$2*I81</f>
        <v>3.5108629270181228E-17</v>
      </c>
      <c r="K81">
        <f>J81*$G$3*$A$2</f>
        <v>2.6471282830274146E-14</v>
      </c>
      <c r="L81">
        <f>$L$2*B81^$M$2</f>
        <v>3.2189916417051543</v>
      </c>
    </row>
    <row r="82" spans="1:12">
      <c r="A82">
        <f>A81+A$2</f>
        <v>4620</v>
      </c>
      <c r="B82">
        <f t="shared" si="5"/>
        <v>77</v>
      </c>
      <c r="C82">
        <f t="shared" si="9"/>
        <v>0.1492644489882777</v>
      </c>
      <c r="D82">
        <f>E82/$E$3</f>
        <v>1.4926444898827769E-7</v>
      </c>
      <c r="E82">
        <f t="shared" si="6"/>
        <v>6.2523746184493573E-8</v>
      </c>
      <c r="F82">
        <f t="shared" si="7"/>
        <v>0.14926416440642806</v>
      </c>
      <c r="G82">
        <f>H82/$H$2</f>
        <v>1.4926416440642805E-7</v>
      </c>
      <c r="H82">
        <f t="shared" si="8"/>
        <v>1.1941133152514244E-6</v>
      </c>
      <c r="I82">
        <f>(G82-D82)/$D$2</f>
        <v>-2.8458184964042669E-12</v>
      </c>
      <c r="J82">
        <f>-$J$2*I82</f>
        <v>2.845818496404267E-17</v>
      </c>
      <c r="K82">
        <f>J82*$G$3*$A$2</f>
        <v>2.1456965956208635E-14</v>
      </c>
      <c r="L82">
        <f>$L$2*B82^$M$2</f>
        <v>3.2371365262447807</v>
      </c>
    </row>
    <row r="83" spans="1:12">
      <c r="A83">
        <f>A82+A$2</f>
        <v>4680</v>
      </c>
      <c r="B83">
        <f t="shared" si="5"/>
        <v>78</v>
      </c>
      <c r="C83">
        <f t="shared" si="9"/>
        <v>0.14926439776354475</v>
      </c>
      <c r="D83">
        <f>E83/$E$3</f>
        <v>1.4926439776354474E-7</v>
      </c>
      <c r="E83">
        <f t="shared" si="6"/>
        <v>6.2523724727527612E-8</v>
      </c>
      <c r="F83">
        <f t="shared" si="7"/>
        <v>0.14926416708854881</v>
      </c>
      <c r="G83">
        <f>H83/$H$2</f>
        <v>1.492641670885488E-7</v>
      </c>
      <c r="H83">
        <f t="shared" si="8"/>
        <v>1.1941133367083904E-6</v>
      </c>
      <c r="I83">
        <f>(G83-D83)/$D$2</f>
        <v>-2.3067499593721591E-12</v>
      </c>
      <c r="J83">
        <f>-$J$2*I83</f>
        <v>2.3067499593721591E-17</v>
      </c>
      <c r="K83">
        <f>J83*$G$3*$A$2</f>
        <v>1.7392484942477111E-14</v>
      </c>
      <c r="L83">
        <f>$L$2*B83^$M$2</f>
        <v>3.2551475826240495</v>
      </c>
    </row>
    <row r="84" spans="1:12">
      <c r="A84">
        <f>A83+A$2</f>
        <v>4740</v>
      </c>
      <c r="B84">
        <f t="shared" si="5"/>
        <v>79</v>
      </c>
      <c r="C84">
        <f t="shared" si="9"/>
        <v>0.14926435624204548</v>
      </c>
      <c r="D84">
        <f>E84/$E$3</f>
        <v>1.4926435624204549E-7</v>
      </c>
      <c r="E84">
        <f t="shared" si="6"/>
        <v>6.2523707335042672E-8</v>
      </c>
      <c r="F84">
        <f t="shared" si="7"/>
        <v>0.14926416926260941</v>
      </c>
      <c r="G84">
        <f>H84/$H$2</f>
        <v>1.4926416926260942E-7</v>
      </c>
      <c r="H84">
        <f t="shared" si="8"/>
        <v>1.1941133541008754E-6</v>
      </c>
      <c r="I84">
        <f>(G84-D84)/$D$2</f>
        <v>-1.8697943606834075E-12</v>
      </c>
      <c r="J84">
        <f>-$J$2*I84</f>
        <v>1.8697943606834076E-17</v>
      </c>
      <c r="K84">
        <f>J84*$G$3*$A$2</f>
        <v>1.4097917345391882E-14</v>
      </c>
      <c r="L84">
        <f>$L$2*B84^$M$2</f>
        <v>3.2730274948925158</v>
      </c>
    </row>
    <row r="85" spans="1:12">
      <c r="A85">
        <f>A84+A$2</f>
        <v>4800</v>
      </c>
      <c r="B85">
        <f t="shared" si="5"/>
        <v>80</v>
      </c>
      <c r="C85">
        <f t="shared" si="9"/>
        <v>0.14926432258574698</v>
      </c>
      <c r="D85">
        <f>E85/$E$3</f>
        <v>1.4926432258574698E-7</v>
      </c>
      <c r="E85">
        <f t="shared" si="6"/>
        <v>6.2523693237125321E-8</v>
      </c>
      <c r="F85">
        <f t="shared" si="7"/>
        <v>0.14926417102484907</v>
      </c>
      <c r="G85">
        <f>H85/$H$2</f>
        <v>1.4926417102484908E-7</v>
      </c>
      <c r="H85">
        <f t="shared" si="8"/>
        <v>1.1941133681987926E-6</v>
      </c>
      <c r="I85">
        <f>(G85-D85)/$D$2</f>
        <v>-1.5156089790389881E-12</v>
      </c>
      <c r="J85">
        <f>-$J$2*I85</f>
        <v>1.5156089790389881E-17</v>
      </c>
      <c r="K85">
        <f>J85*$G$3*$A$2</f>
        <v>1.1427422482232669E-14</v>
      </c>
      <c r="L85">
        <f>$L$2*B85^$M$2</f>
        <v>3.2907788600910703</v>
      </c>
    </row>
    <row r="86" spans="1:12">
      <c r="A86">
        <f>A85+A$2</f>
        <v>4860</v>
      </c>
      <c r="B86">
        <f t="shared" si="5"/>
        <v>81</v>
      </c>
      <c r="C86">
        <f t="shared" si="9"/>
        <v>0.14926429530478535</v>
      </c>
      <c r="D86">
        <f>E86/$E$3</f>
        <v>1.4926429530478534E-7</v>
      </c>
      <c r="E86">
        <f t="shared" si="6"/>
        <v>6.2523681809702834E-8</v>
      </c>
      <c r="F86">
        <f t="shared" si="7"/>
        <v>0.14926417245327689</v>
      </c>
      <c r="G86">
        <f>H86/$H$2</f>
        <v>1.4926417245327689E-7</v>
      </c>
      <c r="H86">
        <f t="shared" si="8"/>
        <v>1.1941133796262151E-6</v>
      </c>
      <c r="I86">
        <f>(G86-D86)/$D$2</f>
        <v>-1.2285150845015734E-12</v>
      </c>
      <c r="J86">
        <f>-$J$2*I86</f>
        <v>1.2285150845015734E-17</v>
      </c>
      <c r="K86">
        <f>J86*$G$3*$A$2</f>
        <v>9.2627855143065289E-15</v>
      </c>
      <c r="L86">
        <f>$L$2*B86^$M$2</f>
        <v>3.3084041921212544</v>
      </c>
    </row>
    <row r="87" spans="1:12">
      <c r="A87">
        <f>A86+A$2</f>
        <v>4920</v>
      </c>
      <c r="B87">
        <f t="shared" si="5"/>
        <v>82</v>
      </c>
      <c r="C87">
        <f t="shared" si="9"/>
        <v>0.14926427319151384</v>
      </c>
      <c r="D87">
        <f>E87/$E$3</f>
        <v>1.4926427319151382E-7</v>
      </c>
      <c r="E87">
        <f t="shared" si="6"/>
        <v>6.2523672546917315E-8</v>
      </c>
      <c r="F87">
        <f t="shared" si="7"/>
        <v>0.14926417361112509</v>
      </c>
      <c r="G87">
        <f>H87/$H$2</f>
        <v>1.4926417361112508E-7</v>
      </c>
      <c r="H87">
        <f t="shared" si="8"/>
        <v>1.1941133888890007E-6</v>
      </c>
      <c r="I87">
        <f>(G87-D87)/$D$2</f>
        <v>-9.9580388737478844E-13</v>
      </c>
      <c r="J87">
        <f>-$J$2*I87</f>
        <v>9.9580388737478857E-18</v>
      </c>
      <c r="K87">
        <f>J87*$G$3*$A$2</f>
        <v>7.5081844247827056E-15</v>
      </c>
      <c r="L87">
        <f>$L$2*B87^$M$2</f>
        <v>3.3259059253970005</v>
      </c>
    </row>
    <row r="88" spans="1:12">
      <c r="A88">
        <f>A87+A$2</f>
        <v>4980</v>
      </c>
      <c r="B88">
        <f t="shared" si="5"/>
        <v>83</v>
      </c>
      <c r="C88">
        <f t="shared" si="9"/>
        <v>0.14926425526704382</v>
      </c>
      <c r="D88">
        <f>E88/$E$3</f>
        <v>1.4926425526704382E-7</v>
      </c>
      <c r="E88">
        <f t="shared" si="6"/>
        <v>6.2523665038732885E-8</v>
      </c>
      <c r="F88">
        <f t="shared" si="7"/>
        <v>0.14926417454964813</v>
      </c>
      <c r="G88">
        <f>H88/$H$2</f>
        <v>1.4926417454964812E-7</v>
      </c>
      <c r="H88">
        <f t="shared" si="8"/>
        <v>1.194113396397185E-6</v>
      </c>
      <c r="I88">
        <f>(G88-D88)/$D$2</f>
        <v>-8.0717395691909475E-13</v>
      </c>
      <c r="J88">
        <f>-$J$2*I88</f>
        <v>8.0717395691909483E-18</v>
      </c>
      <c r="K88">
        <f>J88*$G$3*$A$2</f>
        <v>6.0859482557424788E-15</v>
      </c>
      <c r="L88">
        <f>$L$2*B88^$M$2</f>
        <v>3.3432864182935624</v>
      </c>
    </row>
    <row r="89" spans="1:12">
      <c r="A89">
        <f>A88+A$2</f>
        <v>5040</v>
      </c>
      <c r="B89">
        <f t="shared" si="5"/>
        <v>84</v>
      </c>
      <c r="C89">
        <f t="shared" si="9"/>
        <v>0.14926424073791261</v>
      </c>
      <c r="D89">
        <f>E89/$E$3</f>
        <v>1.4926424073791261E-7</v>
      </c>
      <c r="E89">
        <f t="shared" si="6"/>
        <v>6.2523658952784628E-8</v>
      </c>
      <c r="F89">
        <f t="shared" si="7"/>
        <v>0.14926417531039166</v>
      </c>
      <c r="G89">
        <f>H89/$H$2</f>
        <v>1.4926417531039166E-7</v>
      </c>
      <c r="H89">
        <f t="shared" si="8"/>
        <v>1.1941134024831332E-6</v>
      </c>
      <c r="I89">
        <f>(G89-D89)/$D$2</f>
        <v>-6.5427520951793269E-13</v>
      </c>
      <c r="J89">
        <f>-$J$2*I89</f>
        <v>6.5427520951793276E-18</v>
      </c>
      <c r="K89">
        <f>J89*$G$3*$A$2</f>
        <v>4.9331188599539055E-15</v>
      </c>
      <c r="L89">
        <f>$L$2*B89^$M$2</f>
        <v>3.3605479564071521</v>
      </c>
    </row>
    <row r="90" spans="1:12">
      <c r="A90">
        <f>A89+A$2</f>
        <v>5100</v>
      </c>
      <c r="B90">
        <f t="shared" si="5"/>
        <v>85</v>
      </c>
      <c r="C90">
        <f t="shared" si="9"/>
        <v>0.14926422896095881</v>
      </c>
      <c r="D90">
        <f>E90/$E$3</f>
        <v>1.4926422896095881E-7</v>
      </c>
      <c r="E90">
        <f t="shared" si="6"/>
        <v>6.2523654019665763E-8</v>
      </c>
      <c r="F90">
        <f t="shared" si="7"/>
        <v>0.14926417592703151</v>
      </c>
      <c r="G90">
        <f>H90/$H$2</f>
        <v>1.4926417592703151E-7</v>
      </c>
      <c r="H90">
        <f t="shared" si="8"/>
        <v>1.1941134074162521E-6</v>
      </c>
      <c r="I90">
        <f>(G90-D90)/$D$2</f>
        <v>-5.303392730286605E-13</v>
      </c>
      <c r="J90">
        <f>-$J$2*I90</f>
        <v>5.3033927302866055E-18</v>
      </c>
      <c r="K90">
        <f>J90*$G$3*$A$2</f>
        <v>3.9986639137367799E-15</v>
      </c>
      <c r="L90">
        <f>$L$2*B90^$M$2</f>
        <v>3.3776927556378431</v>
      </c>
    </row>
    <row r="91" spans="1:12">
      <c r="A91">
        <f t="shared" ref="A91:A95" si="10">A90+A$2</f>
        <v>5160</v>
      </c>
      <c r="B91">
        <f t="shared" si="5"/>
        <v>86</v>
      </c>
      <c r="C91">
        <f t="shared" ref="C91:C95" si="11">D91*1000000</f>
        <v>0.14926421941485191</v>
      </c>
      <c r="D91">
        <f t="shared" ref="D91:D95" si="12">E91/$E$3</f>
        <v>1.4926421941485191E-7</v>
      </c>
      <c r="E91">
        <f t="shared" ref="E91:E95" si="13">E90-K90</f>
        <v>6.252365002100185E-8</v>
      </c>
      <c r="F91">
        <f t="shared" ref="F91:F95" si="14">G91*1000000</f>
        <v>0.14926417642686449</v>
      </c>
      <c r="G91">
        <f t="shared" ref="G91:G95" si="15">H91/$H$2</f>
        <v>1.4926417642686449E-7</v>
      </c>
      <c r="H91">
        <f t="shared" ref="H91:H95" si="16">H90+K90</f>
        <v>1.1941134114149159E-6</v>
      </c>
      <c r="I91">
        <f t="shared" ref="I91:I95" si="17">(G91-D91)/$D$2</f>
        <v>-4.2987987428845151E-13</v>
      </c>
      <c r="J91">
        <f t="shared" ref="J91:J95" si="18">-$J$2*I91</f>
        <v>4.2987987428845155E-18</v>
      </c>
      <c r="K91">
        <f t="shared" ref="K91:K95" si="19">J91*$G$3*$A$2</f>
        <v>3.2412178919776883E-15</v>
      </c>
      <c r="L91">
        <f t="shared" ref="L91:L95" si="20">$L$2*B91^$M$2</f>
        <v>3.3947229651072361</v>
      </c>
    </row>
    <row r="92" spans="1:12">
      <c r="A92">
        <f t="shared" si="10"/>
        <v>5220</v>
      </c>
      <c r="B92">
        <f t="shared" si="5"/>
        <v>87</v>
      </c>
      <c r="C92">
        <f t="shared" si="11"/>
        <v>0.14926421167701417</v>
      </c>
      <c r="D92">
        <f t="shared" si="12"/>
        <v>1.4926421167701417E-7</v>
      </c>
      <c r="E92">
        <f t="shared" si="13"/>
        <v>6.2523646779783955E-8</v>
      </c>
      <c r="F92">
        <f t="shared" si="14"/>
        <v>0.14926417683201673</v>
      </c>
      <c r="G92">
        <f t="shared" si="15"/>
        <v>1.4926417683201673E-7</v>
      </c>
      <c r="H92">
        <f t="shared" si="16"/>
        <v>1.1941134146561338E-6</v>
      </c>
      <c r="I92">
        <f t="shared" si="17"/>
        <v>-3.4844997438658598E-13</v>
      </c>
      <c r="J92">
        <f t="shared" si="18"/>
        <v>3.4844997438658599E-18</v>
      </c>
      <c r="K92">
        <f t="shared" si="19"/>
        <v>2.6272509112234807E-15</v>
      </c>
      <c r="L92">
        <f t="shared" si="20"/>
        <v>3.411640669921606</v>
      </c>
    </row>
    <row r="93" spans="1:12">
      <c r="A93">
        <f t="shared" si="10"/>
        <v>5280</v>
      </c>
      <c r="B93">
        <f t="shared" si="5"/>
        <v>88</v>
      </c>
      <c r="C93">
        <f t="shared" si="11"/>
        <v>0.14926420540491464</v>
      </c>
      <c r="D93">
        <f t="shared" si="12"/>
        <v>1.4926420540491463E-7</v>
      </c>
      <c r="E93">
        <f t="shared" si="13"/>
        <v>6.2523644152533048E-8</v>
      </c>
      <c r="F93">
        <f t="shared" si="14"/>
        <v>0.14926417716042309</v>
      </c>
      <c r="G93">
        <f t="shared" si="15"/>
        <v>1.492641771604231E-7</v>
      </c>
      <c r="H93">
        <f t="shared" si="16"/>
        <v>1.1941134172833848E-6</v>
      </c>
      <c r="I93">
        <f t="shared" si="17"/>
        <v>-2.8244491529583348E-13</v>
      </c>
      <c r="J93">
        <f t="shared" si="18"/>
        <v>2.8244491529583351E-18</v>
      </c>
      <c r="K93">
        <f t="shared" si="19"/>
        <v>2.1295844902492368E-15</v>
      </c>
      <c r="L93">
        <f t="shared" si="20"/>
        <v>3.4284478937903402</v>
      </c>
    </row>
    <row r="94" spans="1:12">
      <c r="A94">
        <f t="shared" si="10"/>
        <v>5340</v>
      </c>
      <c r="B94">
        <f t="shared" si="5"/>
        <v>89</v>
      </c>
      <c r="C94">
        <f t="shared" si="11"/>
        <v>0.14926420032090615</v>
      </c>
      <c r="D94">
        <f t="shared" si="12"/>
        <v>1.4926420032090615E-7</v>
      </c>
      <c r="E94">
        <f t="shared" si="13"/>
        <v>6.2523642022948554E-8</v>
      </c>
      <c r="F94">
        <f t="shared" si="14"/>
        <v>0.14926417742662115</v>
      </c>
      <c r="G94">
        <f t="shared" si="15"/>
        <v>1.4926417742662115E-7</v>
      </c>
      <c r="H94">
        <f t="shared" si="16"/>
        <v>1.1941134194129692E-6</v>
      </c>
      <c r="I94">
        <f t="shared" si="17"/>
        <v>-2.289428499824976E-13</v>
      </c>
      <c r="J94">
        <f t="shared" si="18"/>
        <v>2.289428499824976E-18</v>
      </c>
      <c r="K94">
        <f t="shared" si="19"/>
        <v>1.7261884214326192E-15</v>
      </c>
      <c r="L94">
        <f t="shared" si="20"/>
        <v>3.4451466015088408</v>
      </c>
    </row>
    <row r="95" spans="1:12">
      <c r="A95">
        <f t="shared" si="10"/>
        <v>5400</v>
      </c>
      <c r="B95">
        <f t="shared" si="5"/>
        <v>90</v>
      </c>
      <c r="C95">
        <f t="shared" si="11"/>
        <v>0.14926419619993483</v>
      </c>
      <c r="D95">
        <f t="shared" si="12"/>
        <v>1.4926419619993482E-7</v>
      </c>
      <c r="E95">
        <f t="shared" si="13"/>
        <v>6.2523640296760126E-8</v>
      </c>
      <c r="F95">
        <f t="shared" si="14"/>
        <v>0.14926417764239469</v>
      </c>
      <c r="G95">
        <f t="shared" si="15"/>
        <v>1.492641776423947E-7</v>
      </c>
      <c r="H95">
        <f t="shared" si="16"/>
        <v>1.1941134211391576E-6</v>
      </c>
      <c r="I95">
        <f t="shared" si="17"/>
        <v>-1.8557540126946362E-13</v>
      </c>
      <c r="J95">
        <f t="shared" si="18"/>
        <v>1.8557540126946362E-18</v>
      </c>
      <c r="K95">
        <f t="shared" si="19"/>
        <v>1.3992055615562998E-15</v>
      </c>
      <c r="L95">
        <f t="shared" si="20"/>
        <v>3.4617387013143279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Durga, Shreyas</cp:lastModifiedBy>
  <cp:revision/>
  <dcterms:created xsi:type="dcterms:W3CDTF">2025-10-01T17:39:04Z</dcterms:created>
  <dcterms:modified xsi:type="dcterms:W3CDTF">2025-10-04T19:45:13Z</dcterms:modified>
  <cp:category/>
  <cp:contentStatus/>
</cp:coreProperties>
</file>